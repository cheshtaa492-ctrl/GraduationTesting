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4b69b7bf5a8e99df/Desktop/Graduation testing/Script/"/>
    </mc:Choice>
  </mc:AlternateContent>
  <xr:revisionPtr revIDLastSave="1" documentId="11_AFA0ECB497EBF481475B0CBE024917D87AD66D2C" xr6:coauthVersionLast="47" xr6:coauthVersionMax="47" xr10:uidLastSave="{62771372-0BCC-4017-9555-DA566B30CB16}"/>
  <bookViews>
    <workbookView xWindow="-108" yWindow="-108" windowWidth="23256" windowHeight="12456" tabRatio="500" firstSheet="2" activeTab="6" xr2:uid="{00000000-000D-0000-FFFF-FFFF00000000}"/>
  </bookViews>
  <sheets>
    <sheet name="graduation_data" sheetId="1" r:id="rId1"/>
    <sheet name="Mortality" sheetId="2" r:id="rId2"/>
    <sheet name="Assurance Factors" sheetId="3" r:id="rId3"/>
    <sheet name="Annuity Factors" sheetId="4" r:id="rId4"/>
    <sheet name="EPV of Benefits" sheetId="5" r:id="rId5"/>
    <sheet name="Premium" sheetId="6" r:id="rId6"/>
    <sheet name="Summary" sheetId="7" r:id="rId7"/>
    <sheet name="_Helpers" sheetId="8" state="hidden" r:id="rId8"/>
  </sheets>
  <calcPr calcId="191029" iterateDelta="1E-4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42" i="8" l="1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C3" i="8"/>
  <c r="C4" i="8" s="1"/>
  <c r="A3" i="8"/>
  <c r="C2" i="8"/>
  <c r="B2" i="8"/>
  <c r="B3" i="8" s="1"/>
  <c r="A2" i="8"/>
  <c r="D12" i="7"/>
  <c r="C12" i="7"/>
  <c r="D11" i="7"/>
  <c r="D13" i="7" s="1"/>
  <c r="C11" i="7"/>
  <c r="C13" i="7" s="1"/>
  <c r="D9" i="7"/>
  <c r="C9" i="7"/>
  <c r="D7" i="7"/>
  <c r="D10" i="7" s="1"/>
  <c r="C7" i="7"/>
  <c r="C10" i="7" s="1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I54" i="2"/>
  <c r="G54" i="2"/>
  <c r="E54" i="2"/>
  <c r="D54" i="2"/>
  <c r="N54" i="2" s="1"/>
  <c r="N53" i="2"/>
  <c r="I53" i="2"/>
  <c r="G53" i="2"/>
  <c r="E53" i="2"/>
  <c r="D53" i="2"/>
  <c r="I52" i="2"/>
  <c r="G52" i="2"/>
  <c r="E52" i="2"/>
  <c r="D52" i="2"/>
  <c r="N52" i="2" s="1"/>
  <c r="N51" i="2"/>
  <c r="I51" i="2"/>
  <c r="G51" i="2"/>
  <c r="E51" i="2"/>
  <c r="D51" i="2"/>
  <c r="I50" i="2"/>
  <c r="G50" i="2"/>
  <c r="E50" i="2"/>
  <c r="D50" i="2"/>
  <c r="N50" i="2" s="1"/>
  <c r="I49" i="2"/>
  <c r="G49" i="2"/>
  <c r="E49" i="2"/>
  <c r="D49" i="2"/>
  <c r="N49" i="2" s="1"/>
  <c r="I48" i="2"/>
  <c r="G48" i="2"/>
  <c r="E48" i="2"/>
  <c r="D48" i="2"/>
  <c r="N48" i="2" s="1"/>
  <c r="N47" i="2"/>
  <c r="I47" i="2"/>
  <c r="G47" i="2"/>
  <c r="E47" i="2"/>
  <c r="D47" i="2"/>
  <c r="I46" i="2"/>
  <c r="G46" i="2"/>
  <c r="E46" i="2"/>
  <c r="D46" i="2"/>
  <c r="N46" i="2" s="1"/>
  <c r="I45" i="2"/>
  <c r="G45" i="2"/>
  <c r="E45" i="2"/>
  <c r="D45" i="2"/>
  <c r="N45" i="2" s="1"/>
  <c r="I44" i="2"/>
  <c r="G44" i="2"/>
  <c r="E44" i="2"/>
  <c r="D44" i="2"/>
  <c r="N44" i="2" s="1"/>
  <c r="N43" i="2"/>
  <c r="I43" i="2"/>
  <c r="G43" i="2"/>
  <c r="E43" i="2"/>
  <c r="D43" i="2"/>
  <c r="I42" i="2"/>
  <c r="G42" i="2"/>
  <c r="E42" i="2"/>
  <c r="D42" i="2"/>
  <c r="N42" i="2" s="1"/>
  <c r="N41" i="2"/>
  <c r="I41" i="2"/>
  <c r="G41" i="2"/>
  <c r="E41" i="2"/>
  <c r="D41" i="2"/>
  <c r="I40" i="2"/>
  <c r="G40" i="2"/>
  <c r="E40" i="2"/>
  <c r="D40" i="2"/>
  <c r="N40" i="2" s="1"/>
  <c r="N39" i="2"/>
  <c r="I39" i="2"/>
  <c r="G39" i="2"/>
  <c r="E39" i="2"/>
  <c r="D39" i="2"/>
  <c r="I38" i="2"/>
  <c r="G38" i="2"/>
  <c r="E38" i="2"/>
  <c r="D38" i="2"/>
  <c r="N38" i="2" s="1"/>
  <c r="I37" i="2"/>
  <c r="G37" i="2"/>
  <c r="E37" i="2"/>
  <c r="D37" i="2"/>
  <c r="N37" i="2" s="1"/>
  <c r="N36" i="2"/>
  <c r="I36" i="2"/>
  <c r="G36" i="2"/>
  <c r="E36" i="2"/>
  <c r="D36" i="2"/>
  <c r="N35" i="2"/>
  <c r="I35" i="2"/>
  <c r="G35" i="2"/>
  <c r="E35" i="2"/>
  <c r="D35" i="2"/>
  <c r="I34" i="2"/>
  <c r="G34" i="2"/>
  <c r="E34" i="2"/>
  <c r="D34" i="2"/>
  <c r="N34" i="2" s="1"/>
  <c r="N33" i="2"/>
  <c r="I33" i="2"/>
  <c r="G33" i="2"/>
  <c r="E33" i="2"/>
  <c r="D33" i="2"/>
  <c r="N32" i="2"/>
  <c r="I32" i="2"/>
  <c r="G32" i="2"/>
  <c r="E32" i="2"/>
  <c r="D32" i="2"/>
  <c r="N31" i="2"/>
  <c r="I31" i="2"/>
  <c r="G31" i="2"/>
  <c r="E31" i="2"/>
  <c r="D31" i="2"/>
  <c r="I30" i="2"/>
  <c r="G30" i="2"/>
  <c r="E30" i="2"/>
  <c r="D30" i="2"/>
  <c r="N30" i="2" s="1"/>
  <c r="I29" i="2"/>
  <c r="G29" i="2"/>
  <c r="E29" i="2"/>
  <c r="D29" i="2"/>
  <c r="N29" i="2" s="1"/>
  <c r="N28" i="2"/>
  <c r="I28" i="2"/>
  <c r="G28" i="2"/>
  <c r="E28" i="2"/>
  <c r="D28" i="2"/>
  <c r="N27" i="2"/>
  <c r="I27" i="2"/>
  <c r="G27" i="2"/>
  <c r="E27" i="2"/>
  <c r="D27" i="2"/>
  <c r="I26" i="2"/>
  <c r="G26" i="2"/>
  <c r="E26" i="2"/>
  <c r="D26" i="2"/>
  <c r="N26" i="2" s="1"/>
  <c r="I25" i="2"/>
  <c r="G25" i="2"/>
  <c r="E25" i="2"/>
  <c r="D25" i="2"/>
  <c r="N25" i="2" s="1"/>
  <c r="N24" i="2"/>
  <c r="I24" i="2"/>
  <c r="G24" i="2"/>
  <c r="E24" i="2"/>
  <c r="D24" i="2"/>
  <c r="N23" i="2"/>
  <c r="I23" i="2"/>
  <c r="G23" i="2"/>
  <c r="E23" i="2"/>
  <c r="D23" i="2"/>
  <c r="I22" i="2"/>
  <c r="G22" i="2"/>
  <c r="E22" i="2"/>
  <c r="D22" i="2"/>
  <c r="N22" i="2" s="1"/>
  <c r="I21" i="2"/>
  <c r="G21" i="2"/>
  <c r="E21" i="2"/>
  <c r="D21" i="2"/>
  <c r="N21" i="2" s="1"/>
  <c r="N20" i="2"/>
  <c r="I20" i="2"/>
  <c r="G20" i="2"/>
  <c r="E20" i="2"/>
  <c r="D20" i="2"/>
  <c r="N19" i="2"/>
  <c r="I19" i="2"/>
  <c r="G19" i="2"/>
  <c r="E19" i="2"/>
  <c r="D19" i="2"/>
  <c r="I18" i="2"/>
  <c r="G18" i="2"/>
  <c r="E18" i="2"/>
  <c r="D18" i="2"/>
  <c r="N18" i="2" s="1"/>
  <c r="N17" i="2"/>
  <c r="I17" i="2"/>
  <c r="G17" i="2"/>
  <c r="E17" i="2"/>
  <c r="D17" i="2"/>
  <c r="N16" i="2"/>
  <c r="I16" i="2"/>
  <c r="G16" i="2"/>
  <c r="E16" i="2"/>
  <c r="D16" i="2"/>
  <c r="N15" i="2"/>
  <c r="I15" i="2"/>
  <c r="G15" i="2"/>
  <c r="E15" i="2"/>
  <c r="D15" i="2"/>
  <c r="J14" i="2"/>
  <c r="I14" i="2"/>
  <c r="H14" i="2"/>
  <c r="G14" i="2"/>
  <c r="F14" i="2"/>
  <c r="E14" i="2"/>
  <c r="F15" i="2" s="1"/>
  <c r="D14" i="2"/>
  <c r="N14" i="2" s="1"/>
  <c r="C6" i="2"/>
  <c r="C4" i="2"/>
  <c r="F16" i="2" l="1"/>
  <c r="O14" i="2"/>
  <c r="C5" i="8"/>
  <c r="C6" i="8" s="1"/>
  <c r="C7" i="8" s="1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H15" i="2"/>
  <c r="J15" i="2"/>
  <c r="B4" i="8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D14" i="7" l="1" a="1"/>
  <c r="D14" i="7" s="1"/>
  <c r="Q14" i="2"/>
  <c r="J16" i="2"/>
  <c r="C14" i="7" a="1"/>
  <c r="C14" i="7" s="1"/>
  <c r="H16" i="2"/>
  <c r="P14" i="2"/>
  <c r="F17" i="2"/>
  <c r="O15" i="2"/>
  <c r="J17" i="2" l="1"/>
  <c r="Q15" i="2"/>
  <c r="F18" i="2"/>
  <c r="O16" i="2"/>
  <c r="H17" i="2"/>
  <c r="P15" i="2"/>
  <c r="P16" i="2" l="1"/>
  <c r="H18" i="2"/>
  <c r="O17" i="2"/>
  <c r="F19" i="2"/>
  <c r="J18" i="2"/>
  <c r="Q16" i="2"/>
  <c r="O18" i="2" l="1"/>
  <c r="F20" i="2"/>
  <c r="H19" i="2"/>
  <c r="P17" i="2"/>
  <c r="Q17" i="2"/>
  <c r="J19" i="2"/>
  <c r="H20" i="2" l="1"/>
  <c r="P18" i="2"/>
  <c r="F21" i="2"/>
  <c r="O19" i="2"/>
  <c r="Q18" i="2"/>
  <c r="J20" i="2"/>
  <c r="J21" i="2" l="1"/>
  <c r="Q19" i="2"/>
  <c r="H21" i="2"/>
  <c r="P19" i="2"/>
  <c r="F22" i="2"/>
  <c r="O20" i="2"/>
  <c r="J22" i="2" l="1"/>
  <c r="Q20" i="2"/>
  <c r="F23" i="2"/>
  <c r="O21" i="2"/>
  <c r="P20" i="2"/>
  <c r="H22" i="2"/>
  <c r="F9" i="4" a="1"/>
  <c r="F9" i="4" l="1"/>
  <c r="O22" i="2"/>
  <c r="F24" i="2"/>
  <c r="Q21" i="2"/>
  <c r="J23" i="2"/>
  <c r="H23" i="2"/>
  <c r="P21" i="2"/>
  <c r="F10" i="4" a="1"/>
  <c r="H9" i="4" a="1"/>
  <c r="G9" i="4" a="1"/>
  <c r="G9" i="4" l="1"/>
  <c r="H9" i="4"/>
  <c r="F10" i="4"/>
  <c r="H24" i="2"/>
  <c r="P22" i="2"/>
  <c r="Q22" i="2"/>
  <c r="J24" i="2"/>
  <c r="F25" i="2"/>
  <c r="O23" i="2"/>
  <c r="F11" i="4" a="1"/>
  <c r="H10" i="4" a="1"/>
  <c r="G10" i="4" a="1"/>
  <c r="E9" i="3" a="1"/>
  <c r="E9" i="3" l="1"/>
  <c r="E11" i="5" s="1"/>
  <c r="F11" i="6" s="1"/>
  <c r="G10" i="4"/>
  <c r="H10" i="4"/>
  <c r="F11" i="4"/>
  <c r="P23" i="2"/>
  <c r="H25" i="2"/>
  <c r="J25" i="2"/>
  <c r="Q23" i="2"/>
  <c r="F26" i="2"/>
  <c r="O24" i="2"/>
  <c r="G11" i="4" a="1"/>
  <c r="G9" i="3" a="1"/>
  <c r="E10" i="3" a="1"/>
  <c r="H11" i="4" a="1"/>
  <c r="F12" i="4" a="1"/>
  <c r="F9" i="3" a="1"/>
  <c r="F9" i="3" l="1"/>
  <c r="F11" i="5" s="1"/>
  <c r="G11" i="6" s="1"/>
  <c r="F12" i="4"/>
  <c r="H11" i="4"/>
  <c r="E10" i="3"/>
  <c r="E12" i="5" s="1"/>
  <c r="F12" i="6" s="1"/>
  <c r="G9" i="3"/>
  <c r="G11" i="5" s="1"/>
  <c r="H11" i="6" s="1"/>
  <c r="G11" i="4"/>
  <c r="O25" i="2"/>
  <c r="F27" i="2"/>
  <c r="J26" i="2"/>
  <c r="Q24" i="2"/>
  <c r="P24" i="2"/>
  <c r="H26" i="2"/>
  <c r="E11" i="3" a="1"/>
  <c r="F10" i="3" a="1"/>
  <c r="F13" i="4" a="1"/>
  <c r="G12" i="4" a="1"/>
  <c r="H12" i="4" a="1"/>
  <c r="G10" i="3" a="1"/>
  <c r="G10" i="3" l="1"/>
  <c r="G12" i="5" s="1"/>
  <c r="H12" i="6" s="1"/>
  <c r="H12" i="4"/>
  <c r="G12" i="4"/>
  <c r="F13" i="4"/>
  <c r="F10" i="3"/>
  <c r="F12" i="5" s="1"/>
  <c r="G12" i="6" s="1"/>
  <c r="E11" i="3"/>
  <c r="E13" i="5" s="1"/>
  <c r="F13" i="6" s="1"/>
  <c r="Q25" i="2"/>
  <c r="J27" i="2"/>
  <c r="H27" i="2"/>
  <c r="P25" i="2"/>
  <c r="O26" i="2"/>
  <c r="F28" i="2"/>
  <c r="H13" i="4" a="1"/>
  <c r="G13" i="4" a="1"/>
  <c r="F11" i="3" a="1"/>
  <c r="G11" i="3" a="1"/>
  <c r="E12" i="3" a="1"/>
  <c r="F14" i="4" a="1"/>
  <c r="F14" i="4" l="1"/>
  <c r="E12" i="3"/>
  <c r="E14" i="5" s="1"/>
  <c r="F14" i="6" s="1"/>
  <c r="G11" i="3"/>
  <c r="G13" i="5" s="1"/>
  <c r="H13" i="6" s="1"/>
  <c r="F11" i="3"/>
  <c r="F13" i="5" s="1"/>
  <c r="G13" i="6" s="1"/>
  <c r="G13" i="4"/>
  <c r="H13" i="4"/>
  <c r="F29" i="2"/>
  <c r="O27" i="2"/>
  <c r="H28" i="2"/>
  <c r="P26" i="2"/>
  <c r="Q26" i="2"/>
  <c r="J28" i="2"/>
  <c r="G12" i="3" a="1"/>
  <c r="F15" i="4" a="1"/>
  <c r="G14" i="4" a="1"/>
  <c r="E13" i="3" a="1"/>
  <c r="F12" i="3" a="1"/>
  <c r="H14" i="4" a="1"/>
  <c r="H14" i="4" l="1"/>
  <c r="F12" i="3"/>
  <c r="F14" i="5" s="1"/>
  <c r="G14" i="6" s="1"/>
  <c r="E13" i="3"/>
  <c r="E15" i="5" s="1"/>
  <c r="F15" i="6" s="1"/>
  <c r="G14" i="4"/>
  <c r="F15" i="4"/>
  <c r="G12" i="3"/>
  <c r="G14" i="5" s="1"/>
  <c r="H14" i="6" s="1"/>
  <c r="J29" i="2"/>
  <c r="Q27" i="2"/>
  <c r="P27" i="2"/>
  <c r="H29" i="2"/>
  <c r="F30" i="2"/>
  <c r="O28" i="2"/>
  <c r="G13" i="3" a="1"/>
  <c r="E14" i="3" a="1"/>
  <c r="G15" i="4" a="1"/>
  <c r="F16" i="4" a="1"/>
  <c r="F13" i="3" a="1"/>
  <c r="H15" i="4" a="1"/>
  <c r="H15" i="4" l="1"/>
  <c r="F13" i="3"/>
  <c r="F15" i="5" s="1"/>
  <c r="G15" i="6" s="1"/>
  <c r="F16" i="4"/>
  <c r="G15" i="4"/>
  <c r="E14" i="3"/>
  <c r="E16" i="5" s="1"/>
  <c r="F16" i="6" s="1"/>
  <c r="G13" i="3"/>
  <c r="G15" i="5" s="1"/>
  <c r="H15" i="6" s="1"/>
  <c r="J30" i="2"/>
  <c r="Q28" i="2"/>
  <c r="O29" i="2"/>
  <c r="F31" i="2"/>
  <c r="P28" i="2"/>
  <c r="H30" i="2"/>
  <c r="G14" i="3" a="1"/>
  <c r="E15" i="3" a="1"/>
  <c r="F14" i="3" a="1"/>
  <c r="F17" i="4" a="1"/>
  <c r="G16" i="4" a="1"/>
  <c r="H16" i="4" a="1"/>
  <c r="H16" i="4" l="1"/>
  <c r="G16" i="4"/>
  <c r="F17" i="4"/>
  <c r="F14" i="3"/>
  <c r="F16" i="5" s="1"/>
  <c r="G16" i="6" s="1"/>
  <c r="E15" i="3"/>
  <c r="E17" i="5" s="1"/>
  <c r="F17" i="6" s="1"/>
  <c r="G14" i="3"/>
  <c r="G16" i="5" s="1"/>
  <c r="H16" i="6" s="1"/>
  <c r="Q29" i="2"/>
  <c r="J31" i="2"/>
  <c r="H31" i="2"/>
  <c r="P29" i="2"/>
  <c r="O30" i="2"/>
  <c r="F32" i="2"/>
  <c r="G15" i="3" a="1"/>
  <c r="H17" i="4" a="1"/>
  <c r="F15" i="3" a="1"/>
  <c r="G17" i="4" a="1"/>
  <c r="E16" i="3" a="1"/>
  <c r="F18" i="4" a="1"/>
  <c r="F18" i="4" l="1"/>
  <c r="E16" i="3"/>
  <c r="E18" i="5" s="1"/>
  <c r="F18" i="6" s="1"/>
  <c r="G17" i="4"/>
  <c r="F15" i="3"/>
  <c r="F17" i="5" s="1"/>
  <c r="G17" i="6" s="1"/>
  <c r="H17" i="4"/>
  <c r="G15" i="3"/>
  <c r="G17" i="5" s="1"/>
  <c r="H17" i="6" s="1"/>
  <c r="F33" i="2"/>
  <c r="O31" i="2"/>
  <c r="H32" i="2"/>
  <c r="P30" i="2"/>
  <c r="Q30" i="2"/>
  <c r="J32" i="2"/>
  <c r="E17" i="3" a="1"/>
  <c r="G16" i="3" a="1"/>
  <c r="F19" i="4" a="1"/>
  <c r="H18" i="4" a="1"/>
  <c r="G18" i="4" a="1"/>
  <c r="F16" i="3" a="1"/>
  <c r="F16" i="3" l="1"/>
  <c r="F18" i="5" s="1"/>
  <c r="G18" i="6" s="1"/>
  <c r="G18" i="4"/>
  <c r="H18" i="4"/>
  <c r="F19" i="4"/>
  <c r="G16" i="3"/>
  <c r="G18" i="5" s="1"/>
  <c r="H18" i="6" s="1"/>
  <c r="E17" i="3"/>
  <c r="E19" i="5" s="1"/>
  <c r="F19" i="6" s="1"/>
  <c r="H33" i="2"/>
  <c r="P31" i="2"/>
  <c r="J33" i="2"/>
  <c r="Q31" i="2"/>
  <c r="F34" i="2"/>
  <c r="O32" i="2"/>
  <c r="G19" i="4" a="1"/>
  <c r="F17" i="3" a="1"/>
  <c r="H19" i="4" a="1"/>
  <c r="G17" i="3" a="1"/>
  <c r="E18" i="3" a="1"/>
  <c r="F20" i="4" a="1"/>
  <c r="F20" i="4" l="1"/>
  <c r="E18" i="3"/>
  <c r="E20" i="5" s="1"/>
  <c r="F20" i="6" s="1"/>
  <c r="G17" i="3"/>
  <c r="G19" i="5" s="1"/>
  <c r="H19" i="6" s="1"/>
  <c r="H19" i="4"/>
  <c r="F17" i="3"/>
  <c r="F19" i="5" s="1"/>
  <c r="G19" i="6" s="1"/>
  <c r="G19" i="4"/>
  <c r="F35" i="2"/>
  <c r="O33" i="2"/>
  <c r="J34" i="2"/>
  <c r="Q32" i="2"/>
  <c r="P32" i="2"/>
  <c r="H34" i="2"/>
  <c r="E19" i="3" a="1"/>
  <c r="G20" i="4" a="1"/>
  <c r="F18" i="3" a="1"/>
  <c r="G18" i="3" a="1"/>
  <c r="H20" i="4" a="1"/>
  <c r="F21" i="4" a="1"/>
  <c r="F21" i="4" l="1"/>
  <c r="H20" i="4"/>
  <c r="G18" i="3"/>
  <c r="G20" i="5" s="1"/>
  <c r="H20" i="6" s="1"/>
  <c r="F18" i="3"/>
  <c r="F20" i="5" s="1"/>
  <c r="G20" i="6" s="1"/>
  <c r="G20" i="4"/>
  <c r="E19" i="3"/>
  <c r="E21" i="5" s="1"/>
  <c r="F21" i="6" s="1"/>
  <c r="O34" i="2"/>
  <c r="F36" i="2"/>
  <c r="Q33" i="2"/>
  <c r="J35" i="2"/>
  <c r="H35" i="2"/>
  <c r="P33" i="2"/>
  <c r="F22" i="4" a="1"/>
  <c r="F19" i="3" a="1"/>
  <c r="G19" i="3" a="1"/>
  <c r="H21" i="4" a="1"/>
  <c r="G21" i="4" a="1"/>
  <c r="E20" i="3" a="1"/>
  <c r="E20" i="3" l="1"/>
  <c r="E22" i="5" s="1"/>
  <c r="F22" i="6" s="1"/>
  <c r="G21" i="4"/>
  <c r="H21" i="4"/>
  <c r="G19" i="3"/>
  <c r="G21" i="5" s="1"/>
  <c r="H21" i="6" s="1"/>
  <c r="F19" i="3"/>
  <c r="F21" i="5" s="1"/>
  <c r="G21" i="6" s="1"/>
  <c r="F22" i="4"/>
  <c r="H36" i="2"/>
  <c r="P34" i="2"/>
  <c r="Q34" i="2"/>
  <c r="J36" i="2"/>
  <c r="F37" i="2"/>
  <c r="O35" i="2"/>
  <c r="F20" i="3" a="1"/>
  <c r="F23" i="4" a="1"/>
  <c r="E21" i="3" a="1"/>
  <c r="G22" i="4" a="1"/>
  <c r="G20" i="3" a="1"/>
  <c r="H22" i="4" a="1"/>
  <c r="H22" i="4" l="1"/>
  <c r="G20" i="3"/>
  <c r="G22" i="5" s="1"/>
  <c r="H22" i="6" s="1"/>
  <c r="G22" i="4"/>
  <c r="E21" i="3"/>
  <c r="E23" i="5" s="1"/>
  <c r="F23" i="6" s="1"/>
  <c r="F23" i="4"/>
  <c r="F20" i="3"/>
  <c r="F22" i="5" s="1"/>
  <c r="G22" i="6" s="1"/>
  <c r="J37" i="2"/>
  <c r="Q35" i="2"/>
  <c r="P35" i="2"/>
  <c r="H37" i="2"/>
  <c r="F38" i="2"/>
  <c r="O36" i="2"/>
  <c r="G21" i="3" a="1"/>
  <c r="E22" i="3" a="1"/>
  <c r="F24" i="4" a="1"/>
  <c r="F21" i="3" a="1"/>
  <c r="G23" i="4" a="1"/>
  <c r="H23" i="4" a="1"/>
  <c r="H23" i="4" l="1"/>
  <c r="G23" i="4"/>
  <c r="F21" i="3"/>
  <c r="F23" i="5" s="1"/>
  <c r="G23" i="6" s="1"/>
  <c r="F24" i="4"/>
  <c r="E22" i="3"/>
  <c r="E24" i="5" s="1"/>
  <c r="F24" i="6" s="1"/>
  <c r="G21" i="3"/>
  <c r="G23" i="5" s="1"/>
  <c r="H23" i="6" s="1"/>
  <c r="J38" i="2"/>
  <c r="Q36" i="2"/>
  <c r="P36" i="2"/>
  <c r="H38" i="2"/>
  <c r="O37" i="2"/>
  <c r="F39" i="2"/>
  <c r="G22" i="3" a="1"/>
  <c r="F25" i="4" a="1"/>
  <c r="F22" i="3" a="1"/>
  <c r="H24" i="4" a="1"/>
  <c r="G24" i="4" a="1"/>
  <c r="E23" i="3" a="1"/>
  <c r="E23" i="3" l="1"/>
  <c r="E25" i="5" s="1"/>
  <c r="F25" i="6" s="1"/>
  <c r="G24" i="4"/>
  <c r="H24" i="4"/>
  <c r="F22" i="3"/>
  <c r="F24" i="5" s="1"/>
  <c r="G24" i="6" s="1"/>
  <c r="F25" i="4"/>
  <c r="G22" i="3"/>
  <c r="G24" i="5" s="1"/>
  <c r="H24" i="6" s="1"/>
  <c r="H39" i="2"/>
  <c r="P37" i="2"/>
  <c r="J39" i="2"/>
  <c r="Q37" i="2"/>
  <c r="O38" i="2"/>
  <c r="F40" i="2"/>
  <c r="G25" i="4" a="1"/>
  <c r="F23" i="3" a="1"/>
  <c r="H25" i="4" a="1"/>
  <c r="G23" i="3" a="1"/>
  <c r="E24" i="3" a="1"/>
  <c r="F26" i="4" a="1"/>
  <c r="F26" i="4" l="1"/>
  <c r="E24" i="3"/>
  <c r="E26" i="5" s="1"/>
  <c r="F26" i="6" s="1"/>
  <c r="G23" i="3"/>
  <c r="G25" i="5" s="1"/>
  <c r="H25" i="6" s="1"/>
  <c r="H25" i="4"/>
  <c r="F23" i="3"/>
  <c r="F25" i="5" s="1"/>
  <c r="G25" i="6" s="1"/>
  <c r="G25" i="4"/>
  <c r="F41" i="2"/>
  <c r="O39" i="2"/>
  <c r="J40" i="2"/>
  <c r="Q38" i="2"/>
  <c r="H40" i="2"/>
  <c r="P38" i="2"/>
  <c r="E25" i="3" a="1"/>
  <c r="G26" i="4" a="1"/>
  <c r="F24" i="3" a="1"/>
  <c r="G24" i="3" a="1"/>
  <c r="H26" i="4" a="1"/>
  <c r="F27" i="4" a="1"/>
  <c r="F27" i="4" l="1"/>
  <c r="H26" i="4"/>
  <c r="G24" i="3"/>
  <c r="G26" i="5" s="1"/>
  <c r="H26" i="6" s="1"/>
  <c r="F24" i="3"/>
  <c r="F26" i="5" s="1"/>
  <c r="G26" i="6" s="1"/>
  <c r="G26" i="4"/>
  <c r="E25" i="3"/>
  <c r="E27" i="5" s="1"/>
  <c r="F27" i="6" s="1"/>
  <c r="F42" i="2"/>
  <c r="O40" i="2"/>
  <c r="J41" i="2"/>
  <c r="Q39" i="2"/>
  <c r="H41" i="2"/>
  <c r="P39" i="2"/>
  <c r="E26" i="3" a="1"/>
  <c r="G25" i="3" a="1"/>
  <c r="F28" i="4" a="1"/>
  <c r="H27" i="4" a="1"/>
  <c r="G27" i="4" a="1"/>
  <c r="F25" i="3" a="1"/>
  <c r="F25" i="3" l="1"/>
  <c r="F27" i="5" s="1"/>
  <c r="G27" i="6" s="1"/>
  <c r="G27" i="4"/>
  <c r="H27" i="4"/>
  <c r="F28" i="4"/>
  <c r="G25" i="3"/>
  <c r="G27" i="5" s="1"/>
  <c r="H27" i="6" s="1"/>
  <c r="E26" i="3"/>
  <c r="E28" i="5" s="1"/>
  <c r="F28" i="6" s="1"/>
  <c r="P40" i="2"/>
  <c r="H42" i="2"/>
  <c r="J42" i="2"/>
  <c r="Q40" i="2"/>
  <c r="F43" i="2"/>
  <c r="O41" i="2"/>
  <c r="F26" i="3" a="1"/>
  <c r="G28" i="4" a="1"/>
  <c r="F29" i="4" a="1"/>
  <c r="E27" i="3" a="1"/>
  <c r="H28" i="4" a="1"/>
  <c r="G26" i="3" a="1"/>
  <c r="G26" i="3" l="1"/>
  <c r="G28" i="5" s="1"/>
  <c r="H28" i="6" s="1"/>
  <c r="H28" i="4"/>
  <c r="E27" i="3"/>
  <c r="E29" i="5" s="1"/>
  <c r="F29" i="6" s="1"/>
  <c r="F29" i="4"/>
  <c r="G28" i="4"/>
  <c r="F26" i="3"/>
  <c r="F28" i="5" s="1"/>
  <c r="G28" i="6" s="1"/>
  <c r="Q41" i="2"/>
  <c r="J43" i="2"/>
  <c r="F44" i="2"/>
  <c r="O42" i="2"/>
  <c r="H43" i="2"/>
  <c r="P41" i="2"/>
  <c r="H29" i="4" a="1"/>
  <c r="F27" i="3" a="1"/>
  <c r="G27" i="3" a="1"/>
  <c r="F30" i="4" a="1"/>
  <c r="E28" i="3" a="1"/>
  <c r="G29" i="4" a="1"/>
  <c r="G29" i="4" l="1"/>
  <c r="E28" i="3"/>
  <c r="E30" i="5" s="1"/>
  <c r="F30" i="6" s="1"/>
  <c r="F30" i="4"/>
  <c r="G27" i="3"/>
  <c r="G29" i="5" s="1"/>
  <c r="H29" i="6" s="1"/>
  <c r="F27" i="3"/>
  <c r="F29" i="5" s="1"/>
  <c r="G29" i="6" s="1"/>
  <c r="H29" i="4"/>
  <c r="P42" i="2"/>
  <c r="H44" i="2"/>
  <c r="F45" i="2"/>
  <c r="O43" i="2"/>
  <c r="J44" i="2"/>
  <c r="Q42" i="2"/>
  <c r="G30" i="4" a="1"/>
  <c r="H30" i="4" a="1"/>
  <c r="G28" i="3" a="1"/>
  <c r="F31" i="4" a="1"/>
  <c r="E29" i="3" a="1"/>
  <c r="F28" i="3" a="1"/>
  <c r="F28" i="3" l="1"/>
  <c r="F30" i="5" s="1"/>
  <c r="G30" i="6" s="1"/>
  <c r="E29" i="3"/>
  <c r="E31" i="5" s="1"/>
  <c r="F31" i="6" s="1"/>
  <c r="F31" i="4"/>
  <c r="G28" i="3"/>
  <c r="G30" i="5" s="1"/>
  <c r="H30" i="6" s="1"/>
  <c r="H30" i="4"/>
  <c r="G30" i="4"/>
  <c r="F46" i="2"/>
  <c r="O44" i="2"/>
  <c r="Q43" i="2"/>
  <c r="J45" i="2"/>
  <c r="H45" i="2"/>
  <c r="P43" i="2"/>
  <c r="F32" i="4" a="1"/>
  <c r="E30" i="3" a="1"/>
  <c r="G29" i="3" a="1"/>
  <c r="H31" i="4" a="1"/>
  <c r="G31" i="4" a="1"/>
  <c r="F29" i="3" a="1"/>
  <c r="F29" i="3" l="1"/>
  <c r="F31" i="5" s="1"/>
  <c r="G31" i="6" s="1"/>
  <c r="G31" i="4"/>
  <c r="H31" i="4"/>
  <c r="G29" i="3"/>
  <c r="G31" i="5" s="1"/>
  <c r="H31" i="6" s="1"/>
  <c r="E30" i="3"/>
  <c r="E32" i="5" s="1"/>
  <c r="F32" i="6" s="1"/>
  <c r="F32" i="4"/>
  <c r="P44" i="2"/>
  <c r="H46" i="2"/>
  <c r="J46" i="2"/>
  <c r="Q44" i="2"/>
  <c r="O45" i="2"/>
  <c r="F47" i="2"/>
  <c r="G32" i="4" a="1"/>
  <c r="E31" i="3" a="1"/>
  <c r="F33" i="4" a="1"/>
  <c r="F30" i="3" a="1"/>
  <c r="H32" i="4" a="1"/>
  <c r="G30" i="3" a="1"/>
  <c r="G30" i="3" l="1"/>
  <c r="G32" i="5" s="1"/>
  <c r="H32" i="6" s="1"/>
  <c r="H32" i="4"/>
  <c r="F30" i="3"/>
  <c r="F32" i="5" s="1"/>
  <c r="G32" i="6" s="1"/>
  <c r="F33" i="4"/>
  <c r="E31" i="3"/>
  <c r="E33" i="5" s="1"/>
  <c r="F33" i="6" s="1"/>
  <c r="G32" i="4"/>
  <c r="Q45" i="2"/>
  <c r="J47" i="2"/>
  <c r="F48" i="2"/>
  <c r="O46" i="2"/>
  <c r="H47" i="2"/>
  <c r="P45" i="2"/>
  <c r="H33" i="4" a="1"/>
  <c r="F34" i="4" a="1"/>
  <c r="F31" i="3" a="1"/>
  <c r="G33" i="4" a="1"/>
  <c r="E32" i="3" a="1"/>
  <c r="G31" i="3" a="1"/>
  <c r="G31" i="3" l="1"/>
  <c r="G33" i="5" s="1"/>
  <c r="H33" i="6" s="1"/>
  <c r="E32" i="3"/>
  <c r="E34" i="5" s="1"/>
  <c r="F34" i="6" s="1"/>
  <c r="G33" i="4"/>
  <c r="F31" i="3"/>
  <c r="F33" i="5" s="1"/>
  <c r="G33" i="6" s="1"/>
  <c r="F34" i="4"/>
  <c r="H33" i="4"/>
  <c r="H48" i="2"/>
  <c r="P46" i="2"/>
  <c r="F49" i="2"/>
  <c r="O47" i="2"/>
  <c r="J48" i="2"/>
  <c r="Q46" i="2"/>
  <c r="F35" i="4" a="1"/>
  <c r="E33" i="3" a="1"/>
  <c r="H34" i="4" a="1"/>
  <c r="G32" i="3" a="1"/>
  <c r="G34" i="4" a="1"/>
  <c r="F32" i="3" a="1"/>
  <c r="F32" i="3" l="1"/>
  <c r="F34" i="5" s="1"/>
  <c r="G34" i="6" s="1"/>
  <c r="G34" i="4"/>
  <c r="G32" i="3"/>
  <c r="G34" i="5" s="1"/>
  <c r="H34" i="6" s="1"/>
  <c r="H34" i="4"/>
  <c r="E33" i="3"/>
  <c r="E35" i="5" s="1"/>
  <c r="F35" i="6" s="1"/>
  <c r="F35" i="4"/>
  <c r="P47" i="2"/>
  <c r="H49" i="2"/>
  <c r="J49" i="2"/>
  <c r="Q47" i="2"/>
  <c r="O48" i="2"/>
  <c r="F50" i="2"/>
  <c r="H35" i="4" a="1"/>
  <c r="G33" i="3" a="1"/>
  <c r="F36" i="4" a="1"/>
  <c r="G35" i="4" a="1"/>
  <c r="E34" i="3" a="1"/>
  <c r="F33" i="3" a="1"/>
  <c r="F33" i="3" l="1"/>
  <c r="F35" i="5" s="1"/>
  <c r="G35" i="6" s="1"/>
  <c r="E34" i="3"/>
  <c r="E36" i="5" s="1"/>
  <c r="F36" i="6" s="1"/>
  <c r="G35" i="4"/>
  <c r="F36" i="4"/>
  <c r="G33" i="3"/>
  <c r="G35" i="5" s="1"/>
  <c r="H35" i="6" s="1"/>
  <c r="H35" i="4"/>
  <c r="H50" i="2"/>
  <c r="P48" i="2"/>
  <c r="O49" i="2"/>
  <c r="F51" i="2"/>
  <c r="Q48" i="2"/>
  <c r="J50" i="2"/>
  <c r="E35" i="3" a="1"/>
  <c r="F37" i="4" a="1"/>
  <c r="G34" i="3" a="1"/>
  <c r="H36" i="4" a="1"/>
  <c r="G36" i="4" a="1"/>
  <c r="F34" i="3" a="1"/>
  <c r="F34" i="3" l="1"/>
  <c r="F36" i="5" s="1"/>
  <c r="G36" i="6" s="1"/>
  <c r="G36" i="4"/>
  <c r="H36" i="4"/>
  <c r="G34" i="3"/>
  <c r="G36" i="5" s="1"/>
  <c r="H36" i="6" s="1"/>
  <c r="F37" i="4"/>
  <c r="E35" i="3"/>
  <c r="E37" i="5" s="1"/>
  <c r="F37" i="6" s="1"/>
  <c r="H51" i="2"/>
  <c r="P49" i="2"/>
  <c r="J51" i="2"/>
  <c r="Q49" i="2"/>
  <c r="F52" i="2"/>
  <c r="O50" i="2"/>
  <c r="H37" i="4" a="1"/>
  <c r="G35" i="3" a="1"/>
  <c r="F38" i="4" a="1"/>
  <c r="G37" i="4" a="1"/>
  <c r="F35" i="3" a="1"/>
  <c r="E36" i="3" a="1"/>
  <c r="E36" i="3" l="1"/>
  <c r="E38" i="5" s="1"/>
  <c r="F38" i="6" s="1"/>
  <c r="F35" i="3"/>
  <c r="F37" i="5" s="1"/>
  <c r="G37" i="6" s="1"/>
  <c r="G37" i="4"/>
  <c r="F38" i="4"/>
  <c r="G35" i="3"/>
  <c r="G37" i="5" s="1"/>
  <c r="H37" i="6" s="1"/>
  <c r="H37" i="4"/>
  <c r="H52" i="2"/>
  <c r="P50" i="2"/>
  <c r="F53" i="2"/>
  <c r="O51" i="2"/>
  <c r="J52" i="2"/>
  <c r="Q50" i="2"/>
  <c r="F39" i="4" a="1"/>
  <c r="E37" i="3" a="1"/>
  <c r="G36" i="3" a="1"/>
  <c r="H38" i="4" a="1"/>
  <c r="F36" i="3" a="1"/>
  <c r="G38" i="4" a="1"/>
  <c r="G38" i="4" l="1"/>
  <c r="F36" i="3"/>
  <c r="F38" i="5" s="1"/>
  <c r="G38" i="6" s="1"/>
  <c r="H38" i="4"/>
  <c r="G36" i="3"/>
  <c r="G38" i="5" s="1"/>
  <c r="H38" i="6" s="1"/>
  <c r="E37" i="3"/>
  <c r="E39" i="5" s="1"/>
  <c r="F39" i="6" s="1"/>
  <c r="F39" i="4"/>
  <c r="P51" i="2"/>
  <c r="H53" i="2"/>
  <c r="J53" i="2"/>
  <c r="Q51" i="2"/>
  <c r="O52" i="2"/>
  <c r="F54" i="2"/>
  <c r="H39" i="4" a="1"/>
  <c r="G37" i="3" a="1"/>
  <c r="F37" i="3" a="1"/>
  <c r="E38" i="3" a="1"/>
  <c r="G39" i="4" a="1"/>
  <c r="G39" i="4" l="1"/>
  <c r="E38" i="3"/>
  <c r="E40" i="5" s="1"/>
  <c r="F40" i="6" s="1"/>
  <c r="F37" i="3"/>
  <c r="F39" i="5" s="1"/>
  <c r="G39" i="6" s="1"/>
  <c r="G37" i="3"/>
  <c r="G39" i="5" s="1"/>
  <c r="H39" i="6" s="1"/>
  <c r="H39" i="4"/>
  <c r="H54" i="2"/>
  <c r="P52" i="2"/>
  <c r="O54" i="2"/>
  <c r="O53" i="2"/>
  <c r="J54" i="2"/>
  <c r="Q52" i="2"/>
  <c r="E39" i="3" a="1"/>
  <c r="G38" i="3" a="1"/>
  <c r="F38" i="3" a="1"/>
  <c r="F38" i="3" l="1"/>
  <c r="F40" i="5" s="1"/>
  <c r="G40" i="6" s="1"/>
  <c r="G38" i="3"/>
  <c r="G40" i="5" s="1"/>
  <c r="H40" i="6" s="1"/>
  <c r="E39" i="3"/>
  <c r="E41" i="5" s="1"/>
  <c r="F41" i="6" s="1"/>
  <c r="P54" i="2"/>
  <c r="P53" i="2"/>
  <c r="Q53" i="2"/>
  <c r="Q54" i="2"/>
  <c r="F39" i="3" a="1"/>
  <c r="G39" i="3" a="1"/>
  <c r="G39" i="3" l="1"/>
  <c r="G41" i="5" s="1"/>
  <c r="H41" i="6" s="1"/>
  <c r="F39" i="3"/>
  <c r="F41" i="5" s="1"/>
  <c r="G41" i="6" s="1"/>
  <c r="C20" i="7" l="1" a="1"/>
  <c r="C20" i="7" s="1"/>
  <c r="C21" i="7" a="1"/>
  <c r="C21" i="7" s="1"/>
</calcChain>
</file>

<file path=xl/sharedStrings.xml><?xml version="1.0" encoding="utf-8"?>
<sst xmlns="http://schemas.openxmlformats.org/spreadsheetml/2006/main" count="85" uniqueCount="70">
  <si>
    <t>age</t>
  </si>
  <si>
    <t>etr</t>
  </si>
  <si>
    <t>true_mortality</t>
  </si>
  <si>
    <t>deaths</t>
  </si>
  <si>
    <t>crude_mortality</t>
  </si>
  <si>
    <t>graduated_weighted</t>
  </si>
  <si>
    <t>graduated_splines</t>
  </si>
  <si>
    <t>zx</t>
  </si>
  <si>
    <t>zx_squared</t>
  </si>
  <si>
    <t>spline_zx</t>
  </si>
  <si>
    <t>zx_spline_squared</t>
  </si>
  <si>
    <t>Mortality Table Construction (lx and Dx)</t>
  </si>
  <si>
    <t>Assumptions</t>
  </si>
  <si>
    <t>Sum Assured</t>
  </si>
  <si>
    <t>Interest Rate (i)</t>
  </si>
  <si>
    <t>Discount Factor (v)</t>
  </si>
  <si>
    <t>Policy Term (n, years)</t>
  </si>
  <si>
    <t>Expected Number of lives Alive at age x</t>
  </si>
  <si>
    <t>Deaths at each age</t>
  </si>
  <si>
    <t>px_Crude</t>
  </si>
  <si>
    <t>lx_crude</t>
  </si>
  <si>
    <t>px_weighted</t>
  </si>
  <si>
    <t>lx_weighted</t>
  </si>
  <si>
    <t>px_splines</t>
  </si>
  <si>
    <t>lx_splines</t>
  </si>
  <si>
    <t>Age</t>
  </si>
  <si>
    <t>Dx_crude</t>
  </si>
  <si>
    <t>Dx_Graduated_Weighted</t>
  </si>
  <si>
    <t>Dx_Graduated_Splines</t>
  </si>
  <si>
    <t>Assurance Factors (Ax:n)</t>
  </si>
  <si>
    <t>term (n)</t>
  </si>
  <si>
    <t>crude</t>
  </si>
  <si>
    <t>Graduated_weighted</t>
  </si>
  <si>
    <t>Graduated_splines</t>
  </si>
  <si>
    <t>Annuity-Due Factors (ax:n)</t>
  </si>
  <si>
    <t>Expected Present Value of Benefits</t>
  </si>
  <si>
    <t>Crude</t>
  </si>
  <si>
    <t>Graduated_Weighted</t>
  </si>
  <si>
    <t>Graduated_Splines</t>
  </si>
  <si>
    <t>Net Annual Premium (Equivalence Principle)</t>
  </si>
  <si>
    <t>Mortality Graduation &amp; Term Assurance Pricing — Summary</t>
  </si>
  <si>
    <t>Statistical Validation (CS2 tests)</t>
  </si>
  <si>
    <t>Test</t>
  </si>
  <si>
    <t>Weighted (Parametric)</t>
  </si>
  <si>
    <t>Spline</t>
  </si>
  <si>
    <t>Notes</t>
  </si>
  <si>
    <t>Chi-square statistic</t>
  </si>
  <si>
    <t>Sum of zx² across all 41 ages</t>
  </si>
  <si>
    <t>Degrees of freedom</t>
  </si>
  <si>
    <t>41 ages − 3 fitted parameters (a, b, c)</t>
  </si>
  <si>
    <t>Critical value (5%, α=0.05)</t>
  </si>
  <si>
    <t>qchisq(0.95, df)</t>
  </si>
  <si>
    <t>Result</t>
  </si>
  <si>
    <t>Statistic below critical value = adequate fit</t>
  </si>
  <si>
    <t>Positive deviations</t>
  </si>
  <si>
    <t>Signs test input</t>
  </si>
  <si>
    <t>Negative deviations</t>
  </si>
  <si>
    <t>Signs test p-value</t>
  </si>
  <si>
    <t>Two-tailed binomial test, p=0.5</t>
  </si>
  <si>
    <t>Max |cumulative deviation|</t>
  </si>
  <si>
    <t>Crude vs. graduated mortality rate, across all ages</t>
  </si>
  <si>
    <t>Pricing Impact: Crude vs. Graduated Premiums</t>
  </si>
  <si>
    <t>Metric</t>
  </si>
  <si>
    <t>Value</t>
  </si>
  <si>
    <t>Max absolute % deviation (crude vs. graduated, weighted basis)</t>
  </si>
  <si>
    <t>10-year term assurance, ages 20-50</t>
  </si>
  <si>
    <t>Average absolute % deviation (crude vs. graduated, weighted basis)</t>
  </si>
  <si>
    <t>Across all 31 starting ages</t>
  </si>
  <si>
    <t>cum_dev_weighted</t>
  </si>
  <si>
    <t>cum_dev_spline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</si>
</sst>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"/>
    <numFmt numFmtId="165" formatCode="0.000%"/>
    <numFmt numFmtId="166" formatCode="0.000"/>
    <numFmt numFmtId="167" formatCode="0.0%"/>
    <numFmt numFmtId="168" formatCode="0.0000"/>
    <numFmt numFmtId="169" formatCode="0.0000%"/>
    <numFmt numFmtId="170" formatCode="_ &quot;₹ &quot;* #,##0.00_ ;_ &quot;₹ &quot;* \-#,##0.00_ ;_ &quot;₹ &quot;* \-??_ ;_ @_ "/>
  </numFmts>
  <fonts count="13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3"/>
      <color rgb="FF1F4E78"/>
      <name val="Arial"/>
      <charset val="1"/>
    </font>
    <font>
      <b/>
      <sz val="11"/>
      <color rgb="FF1F4E78"/>
      <name val="Arial"/>
      <charset val="1"/>
    </font>
    <font>
      <sz val="11"/>
      <color theme="1"/>
      <name val="Arial"/>
      <charset val="1"/>
    </font>
    <font>
      <b/>
      <sz val="10"/>
      <color rgb="FF000000"/>
      <name val="Arial"/>
      <charset val="1"/>
    </font>
    <font>
      <sz val="10"/>
      <color rgb="FF0000FF"/>
      <name val="Arial"/>
      <charset val="1"/>
    </font>
    <font>
      <b/>
      <sz val="15"/>
      <color rgb="FF1F4E78"/>
      <name val="Arial"/>
      <charset val="1"/>
    </font>
    <font>
      <b/>
      <sz val="12"/>
      <color rgb="FF1F4E78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9"/>
      <color rgb="FF666666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theme="8" tint="0.59987182226020086"/>
        <bgColor rgb="FFD9D9D9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2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9" fillId="0" borderId="0" xfId="0" applyFont="1"/>
    <xf numFmtId="0" fontId="8" fillId="0" borderId="0" xfId="0" applyFont="1"/>
    <xf numFmtId="0" fontId="4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" fontId="2" fillId="0" borderId="1" xfId="0" applyNumberFormat="1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66" fontId="2" fillId="0" borderId="1" xfId="0" applyNumberFormat="1" applyFont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1" xfId="0" applyFont="1" applyBorder="1" applyAlignment="1">
      <alignment horizontal="left" vertical="center"/>
    </xf>
    <xf numFmtId="3" fontId="7" fillId="0" borderId="1" xfId="0" applyNumberFormat="1" applyFont="1" applyBorder="1"/>
    <xf numFmtId="167" fontId="7" fillId="0" borderId="1" xfId="0" applyNumberFormat="1" applyFont="1" applyBorder="1"/>
    <xf numFmtId="168" fontId="2" fillId="0" borderId="1" xfId="0" applyNumberFormat="1" applyFont="1" applyBorder="1"/>
    <xf numFmtId="1" fontId="7" fillId="0" borderId="1" xfId="0" applyNumberFormat="1" applyFont="1" applyBorder="1"/>
    <xf numFmtId="169" fontId="2" fillId="0" borderId="1" xfId="0" applyNumberFormat="1" applyFont="1" applyBorder="1"/>
    <xf numFmtId="4" fontId="2" fillId="0" borderId="1" xfId="0" applyNumberFormat="1" applyFont="1" applyBorder="1"/>
    <xf numFmtId="170" fontId="5" fillId="0" borderId="0" xfId="0" applyNumberFormat="1" applyFont="1"/>
    <xf numFmtId="0" fontId="10" fillId="0" borderId="1" xfId="0" applyFont="1" applyBorder="1" applyAlignment="1">
      <alignment horizontal="left" vertical="center"/>
    </xf>
    <xf numFmtId="2" fontId="11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/>
    </xf>
    <xf numFmtId="1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168" fontId="11" fillId="0" borderId="1" xfId="0" applyNumberFormat="1" applyFont="1" applyBorder="1" applyAlignment="1">
      <alignment horizontal="center" vertical="center" wrapText="1"/>
    </xf>
    <xf numFmtId="167" fontId="11" fillId="0" borderId="1" xfId="0" applyNumberFormat="1" applyFont="1" applyBorder="1" applyAlignment="1">
      <alignment horizontal="center" vertical="center" wrapText="1"/>
    </xf>
    <xf numFmtId="1" fontId="5" fillId="0" borderId="0" xfId="0" applyNumberFormat="1" applyFont="1"/>
    <xf numFmtId="10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B8B8B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B7B7B7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ED7D31"/>
      <rgbColor rgb="FF666666"/>
      <rgbColor rgb="FFA5A5A5"/>
      <rgbColor rgb="FF003366"/>
      <rgbColor rgb="FF339966"/>
      <rgbColor rgb="FF003300"/>
      <rgbColor rgb="FF333300"/>
      <rgbColor rgb="FF993300"/>
      <rgbColor rgb="FF993366"/>
      <rgbColor rgb="FF1F4E78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None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Premium!$F$10</c:f>
              <c:strCache>
                <c:ptCount val="1"/>
              </c:strCache>
            </c:strRef>
          </c:tx>
          <c:spPr>
            <a:ln w="28440" cap="rnd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Premium!$E$11:$E$41</c:f>
              <c:numCache>
                <c:formatCode>0</c:formatCode>
                <c:ptCount val="31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</c:numCache>
            </c:numRef>
          </c:cat>
          <c:val>
            <c:numRef>
              <c:f>Premium!$F$11:$F$41</c:f>
              <c:numCache>
                <c:formatCode>#,##0.00</c:formatCode>
                <c:ptCount val="31"/>
                <c:pt idx="0">
                  <c:v>704.54676093908984</c:v>
                </c:pt>
                <c:pt idx="1">
                  <c:v>732.17244408853674</c:v>
                </c:pt>
                <c:pt idx="2">
                  <c:v>698.80924855432033</c:v>
                </c:pt>
                <c:pt idx="3">
                  <c:v>695.87553365687495</c:v>
                </c:pt>
                <c:pt idx="4">
                  <c:v>754.00071678088329</c:v>
                </c:pt>
                <c:pt idx="5">
                  <c:v>783.93231601929654</c:v>
                </c:pt>
                <c:pt idx="6">
                  <c:v>815.59724054554033</c:v>
                </c:pt>
                <c:pt idx="7">
                  <c:v>842.97887719966172</c:v>
                </c:pt>
                <c:pt idx="8">
                  <c:v>901.78153873993199</c:v>
                </c:pt>
                <c:pt idx="9">
                  <c:v>932.15786990751496</c:v>
                </c:pt>
                <c:pt idx="10">
                  <c:v>906.79731589860398</c:v>
                </c:pt>
                <c:pt idx="11">
                  <c:v>933.83041232226185</c:v>
                </c:pt>
                <c:pt idx="12">
                  <c:v>1024.0373155292332</c:v>
                </c:pt>
                <c:pt idx="13">
                  <c:v>1104.6371765090041</c:v>
                </c:pt>
                <c:pt idx="14">
                  <c:v>1137.0194842613166</c:v>
                </c:pt>
                <c:pt idx="15">
                  <c:v>1277.3111989919898</c:v>
                </c:pt>
                <c:pt idx="16">
                  <c:v>1407.1870084783989</c:v>
                </c:pt>
                <c:pt idx="17">
                  <c:v>1454.6991826532558</c:v>
                </c:pt>
                <c:pt idx="18">
                  <c:v>1493.9990334017812</c:v>
                </c:pt>
                <c:pt idx="19">
                  <c:v>1644.7675996883675</c:v>
                </c:pt>
                <c:pt idx="20">
                  <c:v>1706.4900318839989</c:v>
                </c:pt>
                <c:pt idx="21">
                  <c:v>1662.7657572908399</c:v>
                </c:pt>
                <c:pt idx="22">
                  <c:v>1798.1691767188349</c:v>
                </c:pt>
                <c:pt idx="23">
                  <c:v>1859.2868756638848</c:v>
                </c:pt>
                <c:pt idx="24">
                  <c:v>2070.6890634386286</c:v>
                </c:pt>
                <c:pt idx="25">
                  <c:v>2289.3258793085606</c:v>
                </c:pt>
                <c:pt idx="26">
                  <c:v>2230.718156958596</c:v>
                </c:pt>
                <c:pt idx="27">
                  <c:v>2467.6023203023028</c:v>
                </c:pt>
                <c:pt idx="28">
                  <c:v>2554.8036019950819</c:v>
                </c:pt>
                <c:pt idx="29">
                  <c:v>2667.8553083881156</c:v>
                </c:pt>
                <c:pt idx="30">
                  <c:v>2930.7690489158326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9F-420C-92D6-E89A0F738F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9121096"/>
        <c:axId val="43446427"/>
      </c:lineChart>
      <c:catAx>
        <c:axId val="9912109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IN" sz="1000" b="0" strike="noStrike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IN" sz="1000" b="0" strike="noStrike" spc="-1">
                    <a:solidFill>
                      <a:srgbClr val="595959"/>
                    </a:solidFill>
                    <a:latin typeface="Calibri"/>
                  </a:rPr>
                  <a:t>AGES</a:t>
                </a:r>
              </a:p>
            </c:rich>
          </c:tx>
          <c:layout>
            <c:manualLayout>
              <c:xMode val="edge"/>
              <c:yMode val="edge"/>
              <c:x val="0.56025751746879204"/>
              <c:y val="0.87405240058518396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3446427"/>
        <c:crosses val="autoZero"/>
        <c:auto val="1"/>
        <c:lblAlgn val="ctr"/>
        <c:lblOffset val="100"/>
        <c:noMultiLvlLbl val="0"/>
      </c:catAx>
      <c:valAx>
        <c:axId val="4344642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IN" sz="1000" b="0" strike="noStrike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IN" sz="1000" b="0" strike="noStrike" spc="-1">
                    <a:solidFill>
                      <a:srgbClr val="595959"/>
                    </a:solidFill>
                    <a:latin typeface="Calibri"/>
                  </a:rPr>
                  <a:t>Premiums
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_(\₹* #,##0.00_);_(\₹* \(#,##0.00\);_(\₹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9912109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None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Premium!$G$10</c:f>
              <c:strCache>
                <c:ptCount val="1"/>
              </c:strCache>
            </c:strRef>
          </c:tx>
          <c:spPr>
            <a:ln w="28440" cap="rnd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Premium!$E$11:$E$41</c:f>
              <c:numCache>
                <c:formatCode>0</c:formatCode>
                <c:ptCount val="31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</c:numCache>
            </c:numRef>
          </c:cat>
          <c:val>
            <c:numRef>
              <c:f>Premium!$G$11:$G$41</c:f>
              <c:numCache>
                <c:formatCode>#,##0.00</c:formatCode>
                <c:ptCount val="31"/>
                <c:pt idx="0">
                  <c:v>697.46153280424437</c:v>
                </c:pt>
                <c:pt idx="1">
                  <c:v>714.55303412902083</c:v>
                </c:pt>
                <c:pt idx="2">
                  <c:v>733.23279381232135</c:v>
                </c:pt>
                <c:pt idx="3">
                  <c:v>753.64656908055804</c:v>
                </c:pt>
                <c:pt idx="4">
                  <c:v>775.95313521511719</c:v>
                </c:pt>
                <c:pt idx="5">
                  <c:v>800.32537813283147</c:v>
                </c:pt>
                <c:pt idx="6">
                  <c:v>826.95146481335109</c:v>
                </c:pt>
                <c:pt idx="7">
                  <c:v>856.03609428382572</c:v>
                </c:pt>
                <c:pt idx="8">
                  <c:v>887.80183130597266</c:v>
                </c:pt>
                <c:pt idx="9">
                  <c:v>922.49052415702965</c:v>
                </c:pt>
                <c:pt idx="10">
                  <c:v>960.36480691805468</c:v>
                </c:pt>
                <c:pt idx="11">
                  <c:v>1001.7096854395757</c:v>
                </c:pt>
                <c:pt idx="12">
                  <c:v>1046.8342045999707</c:v>
                </c:pt>
                <c:pt idx="13">
                  <c:v>1096.0731925563539</c:v>
                </c:pt>
                <c:pt idx="14">
                  <c:v>1149.7890753572817</c:v>
                </c:pt>
                <c:pt idx="15">
                  <c:v>1208.3737524853736</c:v>
                </c:pt>
                <c:pt idx="16">
                  <c:v>1272.2505205697883</c:v>
                </c:pt>
                <c:pt idx="17">
                  <c:v>1341.8760286002189</c:v>
                </c:pt>
                <c:pt idx="18">
                  <c:v>1417.7422434406085</c:v>
                </c:pt>
                <c:pt idx="19">
                  <c:v>1500.378399251686</c:v>
                </c:pt>
                <c:pt idx="20">
                  <c:v>1590.3528985804896</c:v>
                </c:pt>
                <c:pt idx="21">
                  <c:v>1688.2751263930049</c:v>
                </c:pt>
                <c:pt idx="22">
                  <c:v>1794.7971312974751</c:v>
                </c:pt>
                <c:pt idx="23">
                  <c:v>1910.6151207908913</c:v>
                </c:pt>
                <c:pt idx="24">
                  <c:v>2036.4707098230231</c:v>
                </c:pt>
                <c:pt idx="25">
                  <c:v>2173.1518547117239</c:v>
                </c:pt>
                <c:pt idx="26">
                  <c:v>2321.4933980387118</c:v>
                </c:pt>
                <c:pt idx="27">
                  <c:v>2482.3771454100624</c:v>
                </c:pt>
                <c:pt idx="28">
                  <c:v>2656.7313929586367</c:v>
                </c:pt>
                <c:pt idx="29">
                  <c:v>2845.5298266002492</c:v>
                </c:pt>
                <c:pt idx="30">
                  <c:v>3049.7897220995123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74-4391-B819-067EC36BE1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6368793"/>
        <c:axId val="91244351"/>
      </c:lineChart>
      <c:catAx>
        <c:axId val="4636879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0" strike="noStrike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IN" sz="1000" b="0" strike="noStrike" spc="-1">
                    <a:solidFill>
                      <a:srgbClr val="595959"/>
                    </a:solidFill>
                    <a:latin typeface="Calibri"/>
                  </a:rPr>
                  <a:t>None
AGES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91244351"/>
        <c:crosses val="autoZero"/>
        <c:auto val="1"/>
        <c:lblAlgn val="ctr"/>
        <c:lblOffset val="100"/>
        <c:noMultiLvlLbl val="0"/>
      </c:catAx>
      <c:valAx>
        <c:axId val="9124435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IN" sz="1000" b="0" strike="noStrike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IN" sz="1000" b="0" strike="noStrike" spc="-1">
                    <a:solidFill>
                      <a:srgbClr val="595959"/>
                    </a:solidFill>
                    <a:latin typeface="Calibri"/>
                  </a:rPr>
                  <a:t>Premium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_(\₹* #,##0.00_);_(\₹* \(#,##0.00\);_(\₹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636879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None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Premium!$H$10</c:f>
              <c:strCache>
                <c:ptCount val="1"/>
              </c:strCache>
            </c:strRef>
          </c:tx>
          <c:spPr>
            <a:ln w="19080" cap="rnd">
              <a:solidFill>
                <a:srgbClr val="4472C4"/>
              </a:solidFill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Premium!$E$11:$E$41</c:f>
              <c:numCache>
                <c:formatCode>0</c:formatCode>
                <c:ptCount val="31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</c:numCache>
            </c:numRef>
          </c:xVal>
          <c:yVal>
            <c:numRef>
              <c:f>Premium!$H$11:$H$41</c:f>
              <c:numCache>
                <c:formatCode>#,##0.00</c:formatCode>
                <c:ptCount val="31"/>
                <c:pt idx="0">
                  <c:v>680.76380080931676</c:v>
                </c:pt>
                <c:pt idx="1">
                  <c:v>694.40074882603403</c:v>
                </c:pt>
                <c:pt idx="2">
                  <c:v>710.37263770705499</c:v>
                </c:pt>
                <c:pt idx="3">
                  <c:v>729.03725807917624</c:v>
                </c:pt>
                <c:pt idx="4">
                  <c:v>750.6899051155732</c:v>
                </c:pt>
                <c:pt idx="5">
                  <c:v>775.52286761472828</c:v>
                </c:pt>
                <c:pt idx="6">
                  <c:v>803.70101165751385</c:v>
                </c:pt>
                <c:pt idx="7">
                  <c:v>835.42284729011271</c:v>
                </c:pt>
                <c:pt idx="8">
                  <c:v>870.93193609012053</c:v>
                </c:pt>
                <c:pt idx="9">
                  <c:v>910.52615555531497</c:v>
                </c:pt>
                <c:pt idx="10">
                  <c:v>954.5832622355332</c:v>
                </c:pt>
                <c:pt idx="11">
                  <c:v>1003.5362061231235</c:v>
                </c:pt>
                <c:pt idx="12">
                  <c:v>1057.746571752961</c:v>
                </c:pt>
                <c:pt idx="13">
                  <c:v>1117.4319529507839</c:v>
                </c:pt>
                <c:pt idx="14">
                  <c:v>1182.7092804949473</c:v>
                </c:pt>
                <c:pt idx="15">
                  <c:v>1253.6374867353957</c:v>
                </c:pt>
                <c:pt idx="16">
                  <c:v>1330.2119487698376</c:v>
                </c:pt>
                <c:pt idx="17">
                  <c:v>1412.4536840967603</c:v>
                </c:pt>
                <c:pt idx="18">
                  <c:v>1500.4587323943942</c:v>
                </c:pt>
                <c:pt idx="19">
                  <c:v>1594.3799129801844</c:v>
                </c:pt>
                <c:pt idx="20">
                  <c:v>1694.3832960191962</c:v>
                </c:pt>
                <c:pt idx="21">
                  <c:v>1800.6792552882287</c:v>
                </c:pt>
                <c:pt idx="22">
                  <c:v>1913.4878549530947</c:v>
                </c:pt>
                <c:pt idx="23">
                  <c:v>2032.9279610840774</c:v>
                </c:pt>
                <c:pt idx="24">
                  <c:v>2158.9943754208266</c:v>
                </c:pt>
                <c:pt idx="25">
                  <c:v>2291.5638164526558</c:v>
                </c:pt>
                <c:pt idx="26">
                  <c:v>2430.4597530462343</c:v>
                </c:pt>
                <c:pt idx="27">
                  <c:v>2575.4783601956369</c:v>
                </c:pt>
                <c:pt idx="28">
                  <c:v>2726.2813229975409</c:v>
                </c:pt>
                <c:pt idx="29">
                  <c:v>2882.4325038501015</c:v>
                </c:pt>
                <c:pt idx="30">
                  <c:v>3043.3829462425338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37-4B91-9970-7E014EFE92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288329"/>
        <c:axId val="5363423"/>
      </c:scatterChart>
      <c:valAx>
        <c:axId val="53288329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n-IN" sz="1000" b="0" strike="noStrike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IN" sz="1000" b="0" strike="noStrike" spc="-1">
                    <a:solidFill>
                      <a:srgbClr val="595959"/>
                    </a:solidFill>
                    <a:latin typeface="Calibri"/>
                  </a:rPr>
                  <a:t>AGES
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363423"/>
        <c:crosses val="autoZero"/>
        <c:crossBetween val="midCat"/>
      </c:valAx>
      <c:valAx>
        <c:axId val="536342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IN" sz="1000" b="0" strike="noStrike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IN" sz="1000" b="0" strike="noStrike" spc="-1">
                    <a:solidFill>
                      <a:srgbClr val="595959"/>
                    </a:solidFill>
                    <a:latin typeface="Calibri"/>
                  </a:rPr>
                  <a:t>Premiums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_(\₹* #,##0.00_);_(\₹* \(#,##0.00\);_(\₹* \-??_);_(@_)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3288329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Mortality Rates by Age: True vs Crude vs Graduated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graduation_data!$C$1</c:f>
              <c:strCache>
                <c:ptCount val="1"/>
                <c:pt idx="0">
                  <c:v>true_mortality</c:v>
                </c:pt>
              </c:strCache>
            </c:strRef>
          </c:tx>
          <c:spPr>
            <a:ln w="19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graduation_data!$A$2:$A$42</c:f>
              <c:numCache>
                <c:formatCode>0</c:formatCode>
                <c:ptCount val="41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  <c:pt idx="31">
                  <c:v>51</c:v>
                </c:pt>
                <c:pt idx="32">
                  <c:v>52</c:v>
                </c:pt>
                <c:pt idx="33">
                  <c:v>53</c:v>
                </c:pt>
                <c:pt idx="34">
                  <c:v>54</c:v>
                </c:pt>
                <c:pt idx="35">
                  <c:v>55</c:v>
                </c:pt>
                <c:pt idx="36">
                  <c:v>56</c:v>
                </c:pt>
                <c:pt idx="37">
                  <c:v>57</c:v>
                </c:pt>
                <c:pt idx="38">
                  <c:v>58</c:v>
                </c:pt>
                <c:pt idx="39">
                  <c:v>59</c:v>
                </c:pt>
                <c:pt idx="40">
                  <c:v>60</c:v>
                </c:pt>
              </c:numCache>
            </c:numRef>
          </c:cat>
          <c:val>
            <c:numRef>
              <c:f>graduation_data!$C$2:$C$42</c:f>
              <c:numCache>
                <c:formatCode>0.000%</c:formatCode>
                <c:ptCount val="41"/>
                <c:pt idx="0">
                  <c:v>1.28022053838892E-2</c:v>
                </c:pt>
                <c:pt idx="1">
                  <c:v>1.30544038684392E-2</c:v>
                </c:pt>
                <c:pt idx="2">
                  <c:v>1.33293002165987E-2</c:v>
                </c:pt>
                <c:pt idx="3">
                  <c:v>1.3628937236092599E-2</c:v>
                </c:pt>
                <c:pt idx="4">
                  <c:v>1.39555415873409E-2</c:v>
                </c:pt>
                <c:pt idx="5">
                  <c:v>1.43115403302016E-2</c:v>
                </c:pt>
                <c:pt idx="6">
                  <c:v>1.4699578959919701E-2</c:v>
                </c:pt>
                <c:pt idx="7">
                  <c:v>1.51225410663125E-2</c:v>
                </c:pt>
                <c:pt idx="8">
                  <c:v>1.55835697622806E-2</c:v>
                </c:pt>
                <c:pt idx="9">
                  <c:v>1.6086091040885899E-2</c:v>
                </c:pt>
                <c:pt idx="10">
                  <c:v>1.6633839234565601E-2</c:v>
                </c:pt>
                <c:pt idx="11">
                  <c:v>1.72308847656765E-2</c:v>
                </c:pt>
                <c:pt idx="12">
                  <c:v>1.7881664394587399E-2</c:v>
                </c:pt>
                <c:pt idx="13">
                  <c:v>1.85910141901003E-2</c:v>
                </c:pt>
                <c:pt idx="14">
                  <c:v>1.9364205467209301E-2</c:v>
                </c:pt>
                <c:pt idx="15">
                  <c:v>2.0206983959258198E-2</c:v>
                </c:pt>
                <c:pt idx="16">
                  <c:v>2.1125612515591401E-2</c:v>
                </c:pt>
                <c:pt idx="17">
                  <c:v>2.2126917641994599E-2</c:v>
                </c:pt>
                <c:pt idx="18">
                  <c:v>2.32183402297742E-2</c:v>
                </c:pt>
                <c:pt idx="19">
                  <c:v>2.4407990850453799E-2</c:v>
                </c:pt>
                <c:pt idx="20">
                  <c:v>2.57047100269947E-2</c:v>
                </c:pt>
                <c:pt idx="21">
                  <c:v>2.71181339294242E-2</c:v>
                </c:pt>
                <c:pt idx="22">
                  <c:v>2.8658765983072401E-2</c:v>
                </c:pt>
                <c:pt idx="23">
                  <c:v>3.0338054921548899E-2</c:v>
                </c:pt>
                <c:pt idx="24">
                  <c:v>3.21684798644883E-2</c:v>
                </c:pt>
                <c:pt idx="25">
                  <c:v>3.4163643052292199E-2</c:v>
                </c:pt>
                <c:pt idx="26">
                  <c:v>3.6338370926998501E-2</c:v>
                </c:pt>
                <c:pt idx="27">
                  <c:v>3.8708824310428401E-2</c:v>
                </c:pt>
                <c:pt idx="28">
                  <c:v>4.1292618498366997E-2</c:v>
                </c:pt>
                <c:pt idx="29">
                  <c:v>4.4108954163219999E-2</c:v>
                </c:pt>
                <c:pt idx="30">
                  <c:v>4.71787600379098E-2</c:v>
                </c:pt>
                <c:pt idx="31">
                  <c:v>5.0524848441321699E-2</c:v>
                </c:pt>
                <c:pt idx="32">
                  <c:v>5.4172084801040701E-2</c:v>
                </c:pt>
                <c:pt idx="33">
                  <c:v>5.8147572433134301E-2</c:v>
                </c:pt>
                <c:pt idx="34">
                  <c:v>6.2480853952116402E-2</c:v>
                </c:pt>
                <c:pt idx="35">
                  <c:v>6.7204130807806906E-2</c:v>
                </c:pt>
                <c:pt idx="36">
                  <c:v>7.2352502580509501E-2</c:v>
                </c:pt>
                <c:pt idx="37">
                  <c:v>7.7964227812755402E-2</c:v>
                </c:pt>
                <c:pt idx="38">
                  <c:v>8.4081008315903399E-2</c:v>
                </c:pt>
                <c:pt idx="39">
                  <c:v>9.0748299064334695E-2</c:v>
                </c:pt>
                <c:pt idx="40">
                  <c:v>9.8015645980124799E-2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465-41D3-8D17-B46534DAEE03}"/>
            </c:ext>
          </c:extLst>
        </c:ser>
        <c:ser>
          <c:idx val="1"/>
          <c:order val="1"/>
          <c:tx>
            <c:strRef>
              <c:f>graduation_data!$E$1</c:f>
              <c:strCache>
                <c:ptCount val="1"/>
                <c:pt idx="0">
                  <c:v>crude_mortality</c:v>
                </c:pt>
              </c:strCache>
            </c:strRef>
          </c:tx>
          <c:spPr>
            <a:ln w="190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graduation_data!$A$2:$A$42</c:f>
              <c:numCache>
                <c:formatCode>0</c:formatCode>
                <c:ptCount val="41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  <c:pt idx="31">
                  <c:v>51</c:v>
                </c:pt>
                <c:pt idx="32">
                  <c:v>52</c:v>
                </c:pt>
                <c:pt idx="33">
                  <c:v>53</c:v>
                </c:pt>
                <c:pt idx="34">
                  <c:v>54</c:v>
                </c:pt>
                <c:pt idx="35">
                  <c:v>55</c:v>
                </c:pt>
                <c:pt idx="36">
                  <c:v>56</c:v>
                </c:pt>
                <c:pt idx="37">
                  <c:v>57</c:v>
                </c:pt>
                <c:pt idx="38">
                  <c:v>58</c:v>
                </c:pt>
                <c:pt idx="39">
                  <c:v>59</c:v>
                </c:pt>
                <c:pt idx="40">
                  <c:v>60</c:v>
                </c:pt>
              </c:numCache>
            </c:numRef>
          </c:cat>
          <c:val>
            <c:numRef>
              <c:f>graduation_data!$E$2:$E$42</c:f>
              <c:numCache>
                <c:formatCode>0.000%</c:formatCode>
                <c:ptCount val="41"/>
                <c:pt idx="0">
                  <c:v>1.6E-2</c:v>
                </c:pt>
                <c:pt idx="1">
                  <c:v>1.8947368421052602E-2</c:v>
                </c:pt>
                <c:pt idx="2">
                  <c:v>1.32963988919668E-2</c:v>
                </c:pt>
                <c:pt idx="3">
                  <c:v>9.3308062399766693E-3</c:v>
                </c:pt>
                <c:pt idx="4">
                  <c:v>7.3664259789289503E-3</c:v>
                </c:pt>
                <c:pt idx="5">
                  <c:v>1.55082652187978E-2</c:v>
                </c:pt>
                <c:pt idx="6">
                  <c:v>1.36037414199981E-2</c:v>
                </c:pt>
                <c:pt idx="7">
                  <c:v>1.5751700591576701E-2</c:v>
                </c:pt>
                <c:pt idx="8">
                  <c:v>1.50733976952887E-2</c:v>
                </c:pt>
                <c:pt idx="9">
                  <c:v>2.6973448507358801E-2</c:v>
                </c:pt>
                <c:pt idx="10">
                  <c:v>2.5052738551726399E-2</c:v>
                </c:pt>
                <c:pt idx="11">
                  <c:v>1.23066084113744E-2</c:v>
                </c:pt>
                <c:pt idx="12">
                  <c:v>1.11037068373303E-2</c:v>
                </c:pt>
                <c:pt idx="13">
                  <c:v>2.1428206177304E-2</c:v>
                </c:pt>
                <c:pt idx="14">
                  <c:v>8.2021841827000994E-3</c:v>
                </c:pt>
                <c:pt idx="15">
                  <c:v>2.3743164739395001E-2</c:v>
                </c:pt>
                <c:pt idx="16">
                  <c:v>1.81765854464268E-2</c:v>
                </c:pt>
                <c:pt idx="17">
                  <c:v>3.1091527737308999E-2</c:v>
                </c:pt>
                <c:pt idx="18">
                  <c:v>2.0140260882467401E-2</c:v>
                </c:pt>
                <c:pt idx="19">
                  <c:v>2.6500343266404498E-2</c:v>
                </c:pt>
                <c:pt idx="20">
                  <c:v>3.90531374452276E-2</c:v>
                </c:pt>
                <c:pt idx="21">
                  <c:v>3.2299587360714602E-2</c:v>
                </c:pt>
                <c:pt idx="22">
                  <c:v>2.47269568311691E-2</c:v>
                </c:pt>
                <c:pt idx="23">
                  <c:v>2.9281922563226499E-2</c:v>
                </c:pt>
                <c:pt idx="24">
                  <c:v>3.4247862647048599E-2</c:v>
                </c:pt>
                <c:pt idx="25">
                  <c:v>6.1285648947350099E-2</c:v>
                </c:pt>
                <c:pt idx="26">
                  <c:v>1.8973885123018602E-2</c:v>
                </c:pt>
                <c:pt idx="27">
                  <c:v>4.3939523442779897E-2</c:v>
                </c:pt>
                <c:pt idx="28">
                  <c:v>5.46616081106353E-2</c:v>
                </c:pt>
                <c:pt idx="29">
                  <c:v>3.5408329140492502E-2</c:v>
                </c:pt>
                <c:pt idx="30">
                  <c:v>2.7953944058283602E-2</c:v>
                </c:pt>
                <c:pt idx="31">
                  <c:v>7.3563010679693605E-2</c:v>
                </c:pt>
                <c:pt idx="32">
                  <c:v>2.5811582694629302E-2</c:v>
                </c:pt>
                <c:pt idx="33">
                  <c:v>8.6944278550330406E-2</c:v>
                </c:pt>
                <c:pt idx="34">
                  <c:v>9.72403115365537E-2</c:v>
                </c:pt>
                <c:pt idx="35">
                  <c:v>6.02107192176803E-2</c:v>
                </c:pt>
                <c:pt idx="36">
                  <c:v>5.7041733995697202E-2</c:v>
                </c:pt>
                <c:pt idx="37">
                  <c:v>6.0043930521786498E-2</c:v>
                </c:pt>
                <c:pt idx="38">
                  <c:v>9.8317547053217602E-2</c:v>
                </c:pt>
                <c:pt idx="39">
                  <c:v>9.6099858021942097E-2</c:v>
                </c:pt>
                <c:pt idx="40">
                  <c:v>0.124501840352314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465-41D3-8D17-B46534DAEE03}"/>
            </c:ext>
          </c:extLst>
        </c:ser>
        <c:ser>
          <c:idx val="2"/>
          <c:order val="2"/>
          <c:tx>
            <c:strRef>
              <c:f>graduation_data!$F$1</c:f>
              <c:strCache>
                <c:ptCount val="1"/>
                <c:pt idx="0">
                  <c:v>graduated_weighted</c:v>
                </c:pt>
              </c:strCache>
            </c:strRef>
          </c:tx>
          <c:spPr>
            <a:ln w="190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graduation_data!$A$2:$A$42</c:f>
              <c:numCache>
                <c:formatCode>0</c:formatCode>
                <c:ptCount val="41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  <c:pt idx="31">
                  <c:v>51</c:v>
                </c:pt>
                <c:pt idx="32">
                  <c:v>52</c:v>
                </c:pt>
                <c:pt idx="33">
                  <c:v>53</c:v>
                </c:pt>
                <c:pt idx="34">
                  <c:v>54</c:v>
                </c:pt>
                <c:pt idx="35">
                  <c:v>55</c:v>
                </c:pt>
                <c:pt idx="36">
                  <c:v>56</c:v>
                </c:pt>
                <c:pt idx="37">
                  <c:v>57</c:v>
                </c:pt>
                <c:pt idx="38">
                  <c:v>58</c:v>
                </c:pt>
                <c:pt idx="39">
                  <c:v>59</c:v>
                </c:pt>
                <c:pt idx="40">
                  <c:v>60</c:v>
                </c:pt>
              </c:numCache>
            </c:numRef>
          </c:cat>
          <c:val>
            <c:numRef>
              <c:f>graduation_data!$F$2:$F$42</c:f>
              <c:numCache>
                <c:formatCode>0.000%</c:formatCode>
                <c:ptCount val="41"/>
                <c:pt idx="0">
                  <c:v>1.34980823673993E-2</c:v>
                </c:pt>
                <c:pt idx="1">
                  <c:v>1.3745460046802299E-2</c:v>
                </c:pt>
                <c:pt idx="2">
                  <c:v>1.40160857334902E-2</c:v>
                </c:pt>
                <c:pt idx="3">
                  <c:v>1.43121442237793E-2</c:v>
                </c:pt>
                <c:pt idx="4">
                  <c:v>1.46360256363126E-2</c:v>
                </c:pt>
                <c:pt idx="5">
                  <c:v>1.4990344707798E-2</c:v>
                </c:pt>
                <c:pt idx="6">
                  <c:v>1.5377961902117E-2</c:v>
                </c:pt>
                <c:pt idx="7">
                  <c:v>1.58020065032215E-2</c:v>
                </c:pt>
                <c:pt idx="8">
                  <c:v>1.62659018782494E-2</c:v>
                </c:pt>
                <c:pt idx="9">
                  <c:v>1.6773393114812199E-2</c:v>
                </c:pt>
                <c:pt idx="10">
                  <c:v>1.7328577255573501E-2</c:v>
                </c:pt>
                <c:pt idx="11">
                  <c:v>1.79359363742067E-2</c:v>
                </c:pt>
                <c:pt idx="12">
                  <c:v>1.8600373759757999E-2</c:v>
                </c:pt>
                <c:pt idx="13">
                  <c:v>1.9327253501535201E-2</c:v>
                </c:pt>
                <c:pt idx="14">
                  <c:v>2.0122443794097899E-2</c:v>
                </c:pt>
                <c:pt idx="15">
                  <c:v>2.0992364311954E-2</c:v>
                </c:pt>
                <c:pt idx="16">
                  <c:v>2.1944038036426E-2</c:v>
                </c:pt>
                <c:pt idx="17">
                  <c:v>2.2985147953090999E-2</c:v>
                </c:pt>
                <c:pt idx="18">
                  <c:v>2.4124099077521399E-2</c:v>
                </c:pt>
                <c:pt idx="19">
                  <c:v>2.5370086310066899E-2</c:v>
                </c:pt>
                <c:pt idx="20">
                  <c:v>2.6733168667479702E-2</c:v>
                </c:pt>
                <c:pt idx="21">
                  <c:v>2.8224350490662801E-2</c:v>
                </c:pt>
                <c:pt idx="22">
                  <c:v>2.9855670284143401E-2</c:v>
                </c:pt>
                <c:pt idx="23">
                  <c:v>3.1640297904483299E-2</c:v>
                </c:pt>
                <c:pt idx="24">
                  <c:v>3.35926408822418E-2</c:v>
                </c:pt>
                <c:pt idx="25">
                  <c:v>3.57284607358406E-2</c:v>
                </c:pt>
                <c:pt idx="26">
                  <c:v>3.8065000216349398E-2</c:v>
                </c:pt>
                <c:pt idx="27">
                  <c:v>4.0621122510454598E-2</c:v>
                </c:pt>
                <c:pt idx="28">
                  <c:v>4.3417463525415201E-2</c:v>
                </c:pt>
                <c:pt idx="29">
                  <c:v>4.6476598485422502E-2</c:v>
                </c:pt>
                <c:pt idx="30">
                  <c:v>4.9823224184316499E-2</c:v>
                </c:pt>
                <c:pt idx="31">
                  <c:v>5.3484358366010502E-2</c:v>
                </c:pt>
                <c:pt idx="32">
                  <c:v>5.7489557842246498E-2</c:v>
                </c:pt>
                <c:pt idx="33">
                  <c:v>6.1871157108575103E-2</c:v>
                </c:pt>
                <c:pt idx="34">
                  <c:v>6.6664529384937707E-2</c:v>
                </c:pt>
                <c:pt idx="35">
                  <c:v>7.1908372188265096E-2</c:v>
                </c:pt>
                <c:pt idx="36">
                  <c:v>7.7645019742557303E-2</c:v>
                </c:pt>
                <c:pt idx="37">
                  <c:v>8.3920784748572605E-2</c:v>
                </c:pt>
                <c:pt idx="38">
                  <c:v>9.0786332272275394E-2</c:v>
                </c:pt>
                <c:pt idx="39">
                  <c:v>9.8297088770493798E-2</c:v>
                </c:pt>
                <c:pt idx="40">
                  <c:v>0.106513689555904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465-41D3-8D17-B46534DAEE03}"/>
            </c:ext>
          </c:extLst>
        </c:ser>
        <c:ser>
          <c:idx val="3"/>
          <c:order val="3"/>
          <c:tx>
            <c:strRef>
              <c:f>graduation_data!$G$1</c:f>
              <c:strCache>
                <c:ptCount val="1"/>
                <c:pt idx="0">
                  <c:v>graduated_splines</c:v>
                </c:pt>
              </c:strCache>
            </c:strRef>
          </c:tx>
          <c:spPr>
            <a:ln w="1908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graduation_data!$A$2:$A$42</c:f>
              <c:numCache>
                <c:formatCode>0</c:formatCode>
                <c:ptCount val="41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  <c:pt idx="31">
                  <c:v>51</c:v>
                </c:pt>
                <c:pt idx="32">
                  <c:v>52</c:v>
                </c:pt>
                <c:pt idx="33">
                  <c:v>53</c:v>
                </c:pt>
                <c:pt idx="34">
                  <c:v>54</c:v>
                </c:pt>
                <c:pt idx="35">
                  <c:v>55</c:v>
                </c:pt>
                <c:pt idx="36">
                  <c:v>56</c:v>
                </c:pt>
                <c:pt idx="37">
                  <c:v>57</c:v>
                </c:pt>
                <c:pt idx="38">
                  <c:v>58</c:v>
                </c:pt>
                <c:pt idx="39">
                  <c:v>59</c:v>
                </c:pt>
                <c:pt idx="40">
                  <c:v>60</c:v>
                </c:pt>
              </c:numCache>
            </c:numRef>
          </c:cat>
          <c:val>
            <c:numRef>
              <c:f>graduation_data!$G$2:$G$42</c:f>
              <c:numCache>
                <c:formatCode>0.000%</c:formatCode>
                <c:ptCount val="41"/>
                <c:pt idx="0">
                  <c:v>1.35681648586569E-2</c:v>
                </c:pt>
                <c:pt idx="1">
                  <c:v>1.3668353977974199E-2</c:v>
                </c:pt>
                <c:pt idx="2">
                  <c:v>1.37814160983247E-2</c:v>
                </c:pt>
                <c:pt idx="3">
                  <c:v>1.39331283898507E-2</c:v>
                </c:pt>
                <c:pt idx="4">
                  <c:v>1.4148817591802599E-2</c:v>
                </c:pt>
                <c:pt idx="5">
                  <c:v>1.44395227716437E-2</c:v>
                </c:pt>
                <c:pt idx="6">
                  <c:v>1.47997075985426E-2</c:v>
                </c:pt>
                <c:pt idx="7">
                  <c:v>1.5221812830014199E-2</c:v>
                </c:pt>
                <c:pt idx="8">
                  <c:v>1.56967515500917E-2</c:v>
                </c:pt>
                <c:pt idx="9">
                  <c:v>1.6215562689575601E-2</c:v>
                </c:pt>
                <c:pt idx="10">
                  <c:v>1.67728851004381E-2</c:v>
                </c:pt>
                <c:pt idx="11">
                  <c:v>1.7384170508074601E-2</c:v>
                </c:pt>
                <c:pt idx="12">
                  <c:v>1.8080461878146398E-2</c:v>
                </c:pt>
                <c:pt idx="13">
                  <c:v>1.8885984076641601E-2</c:v>
                </c:pt>
                <c:pt idx="14">
                  <c:v>1.98140079333377E-2</c:v>
                </c:pt>
                <c:pt idx="15">
                  <c:v>2.08750527896918E-2</c:v>
                </c:pt>
                <c:pt idx="16">
                  <c:v>2.2066469796703E-2</c:v>
                </c:pt>
                <c:pt idx="17">
                  <c:v>2.33842702503518E-2</c:v>
                </c:pt>
                <c:pt idx="18">
                  <c:v>2.4822946086838899E-2</c:v>
                </c:pt>
                <c:pt idx="19">
                  <c:v>2.6383123725675601E-2</c:v>
                </c:pt>
                <c:pt idx="20">
                  <c:v>2.8062678847478099E-2</c:v>
                </c:pt>
                <c:pt idx="21">
                  <c:v>2.9860967069630599E-2</c:v>
                </c:pt>
                <c:pt idx="22">
                  <c:v>3.1788280692095799E-2</c:v>
                </c:pt>
                <c:pt idx="23">
                  <c:v>3.3858181734772001E-2</c:v>
                </c:pt>
                <c:pt idx="24">
                  <c:v>3.6077845427897097E-2</c:v>
                </c:pt>
                <c:pt idx="25">
                  <c:v>3.8448899292976797E-2</c:v>
                </c:pt>
                <c:pt idx="26">
                  <c:v>4.09747962537821E-2</c:v>
                </c:pt>
                <c:pt idx="27">
                  <c:v>4.3671500112709503E-2</c:v>
                </c:pt>
                <c:pt idx="28">
                  <c:v>4.6543921987584599E-2</c:v>
                </c:pt>
                <c:pt idx="29">
                  <c:v>4.9594614238076901E-2</c:v>
                </c:pt>
                <c:pt idx="30">
                  <c:v>5.2829149948869801E-2</c:v>
                </c:pt>
                <c:pt idx="31">
                  <c:v>5.6242436927098301E-2</c:v>
                </c:pt>
                <c:pt idx="32">
                  <c:v>5.9815553386260802E-2</c:v>
                </c:pt>
                <c:pt idx="33">
                  <c:v>6.3531048437247703E-2</c:v>
                </c:pt>
                <c:pt idx="34">
                  <c:v>6.7359285640673894E-2</c:v>
                </c:pt>
                <c:pt idx="35">
                  <c:v>7.1281068021847305E-2</c:v>
                </c:pt>
                <c:pt idx="36">
                  <c:v>7.5292558515342695E-2</c:v>
                </c:pt>
                <c:pt idx="37">
                  <c:v>7.9386620921971601E-2</c:v>
                </c:pt>
                <c:pt idx="38">
                  <c:v>8.3545438660535001E-2</c:v>
                </c:pt>
                <c:pt idx="39">
                  <c:v>8.7743060318323393E-2</c:v>
                </c:pt>
                <c:pt idx="40">
                  <c:v>9.1957907679828796E-2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A465-41D3-8D17-B46534DAEE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67863"/>
        <c:axId val="45347135"/>
      </c:lineChart>
      <c:catAx>
        <c:axId val="16786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347135"/>
        <c:crosses val="autoZero"/>
        <c:auto val="1"/>
        <c:lblAlgn val="ctr"/>
        <c:lblOffset val="100"/>
        <c:noMultiLvlLbl val="0"/>
      </c:catAx>
      <c:valAx>
        <c:axId val="45347135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Mortality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786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10-Year Term Assurance Premium by Starting 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Premium!$F$9</c:f>
              <c:strCache>
                <c:ptCount val="1"/>
                <c:pt idx="0">
                  <c:v>Crude</c:v>
                </c:pt>
              </c:strCache>
            </c:strRef>
          </c:tx>
          <c:spPr>
            <a:ln w="19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Premium!$E$11:$E$41</c:f>
              <c:numCache>
                <c:formatCode>0</c:formatCode>
                <c:ptCount val="31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</c:numCache>
            </c:numRef>
          </c:cat>
          <c:val>
            <c:numRef>
              <c:f>Premium!$F$10:$F$41</c:f>
              <c:numCache>
                <c:formatCode>#,##0.00</c:formatCode>
                <c:ptCount val="32"/>
                <c:pt idx="1">
                  <c:v>704.54676093908984</c:v>
                </c:pt>
                <c:pt idx="2">
                  <c:v>732.17244408853674</c:v>
                </c:pt>
                <c:pt idx="3">
                  <c:v>698.80924855432033</c:v>
                </c:pt>
                <c:pt idx="4">
                  <c:v>695.87553365687495</c:v>
                </c:pt>
                <c:pt idx="5">
                  <c:v>754.00071678088329</c:v>
                </c:pt>
                <c:pt idx="6">
                  <c:v>783.93231601929654</c:v>
                </c:pt>
                <c:pt idx="7">
                  <c:v>815.59724054554033</c:v>
                </c:pt>
                <c:pt idx="8">
                  <c:v>842.97887719966172</c:v>
                </c:pt>
                <c:pt idx="9">
                  <c:v>901.78153873993199</c:v>
                </c:pt>
                <c:pt idx="10">
                  <c:v>932.15786990751496</c:v>
                </c:pt>
                <c:pt idx="11">
                  <c:v>906.79731589860398</c:v>
                </c:pt>
                <c:pt idx="12">
                  <c:v>933.83041232226185</c:v>
                </c:pt>
                <c:pt idx="13">
                  <c:v>1024.0373155292332</c:v>
                </c:pt>
                <c:pt idx="14">
                  <c:v>1104.6371765090041</c:v>
                </c:pt>
                <c:pt idx="15">
                  <c:v>1137.0194842613166</c:v>
                </c:pt>
                <c:pt idx="16">
                  <c:v>1277.3111989919898</c:v>
                </c:pt>
                <c:pt idx="17">
                  <c:v>1407.1870084783989</c:v>
                </c:pt>
                <c:pt idx="18">
                  <c:v>1454.6991826532558</c:v>
                </c:pt>
                <c:pt idx="19">
                  <c:v>1493.9990334017812</c:v>
                </c:pt>
                <c:pt idx="20">
                  <c:v>1644.7675996883675</c:v>
                </c:pt>
                <c:pt idx="21">
                  <c:v>1706.4900318839989</c:v>
                </c:pt>
                <c:pt idx="22">
                  <c:v>1662.7657572908399</c:v>
                </c:pt>
                <c:pt idx="23">
                  <c:v>1798.1691767188349</c:v>
                </c:pt>
                <c:pt idx="24">
                  <c:v>1859.2868756638848</c:v>
                </c:pt>
                <c:pt idx="25">
                  <c:v>2070.6890634386286</c:v>
                </c:pt>
                <c:pt idx="26">
                  <c:v>2289.3258793085606</c:v>
                </c:pt>
                <c:pt idx="27">
                  <c:v>2230.718156958596</c:v>
                </c:pt>
                <c:pt idx="28">
                  <c:v>2467.6023203023028</c:v>
                </c:pt>
                <c:pt idx="29">
                  <c:v>2554.8036019950819</c:v>
                </c:pt>
                <c:pt idx="30">
                  <c:v>2667.8553083881156</c:v>
                </c:pt>
                <c:pt idx="31">
                  <c:v>2930.7690489158326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E94-4900-BB6B-436DFF4F7359}"/>
            </c:ext>
          </c:extLst>
        </c:ser>
        <c:ser>
          <c:idx val="1"/>
          <c:order val="1"/>
          <c:tx>
            <c:strRef>
              <c:f>Premium!$G$9</c:f>
              <c:strCache>
                <c:ptCount val="1"/>
                <c:pt idx="0">
                  <c:v>Graduated_Weighted</c:v>
                </c:pt>
              </c:strCache>
            </c:strRef>
          </c:tx>
          <c:spPr>
            <a:ln w="190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Premium!$E$11:$E$41</c:f>
              <c:numCache>
                <c:formatCode>0</c:formatCode>
                <c:ptCount val="31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</c:numCache>
            </c:numRef>
          </c:cat>
          <c:val>
            <c:numRef>
              <c:f>Premium!$G$10:$G$41</c:f>
              <c:numCache>
                <c:formatCode>#,##0.00</c:formatCode>
                <c:ptCount val="32"/>
                <c:pt idx="1">
                  <c:v>697.46153280424437</c:v>
                </c:pt>
                <c:pt idx="2">
                  <c:v>714.55303412902083</c:v>
                </c:pt>
                <c:pt idx="3">
                  <c:v>733.23279381232135</c:v>
                </c:pt>
                <c:pt idx="4">
                  <c:v>753.64656908055804</c:v>
                </c:pt>
                <c:pt idx="5">
                  <c:v>775.95313521511719</c:v>
                </c:pt>
                <c:pt idx="6">
                  <c:v>800.32537813283147</c:v>
                </c:pt>
                <c:pt idx="7">
                  <c:v>826.95146481335109</c:v>
                </c:pt>
                <c:pt idx="8">
                  <c:v>856.03609428382572</c:v>
                </c:pt>
                <c:pt idx="9">
                  <c:v>887.80183130597266</c:v>
                </c:pt>
                <c:pt idx="10">
                  <c:v>922.49052415702965</c:v>
                </c:pt>
                <c:pt idx="11">
                  <c:v>960.36480691805468</c:v>
                </c:pt>
                <c:pt idx="12">
                  <c:v>1001.7096854395757</c:v>
                </c:pt>
                <c:pt idx="13">
                  <c:v>1046.8342045999707</c:v>
                </c:pt>
                <c:pt idx="14">
                  <c:v>1096.0731925563539</c:v>
                </c:pt>
                <c:pt idx="15">
                  <c:v>1149.7890753572817</c:v>
                </c:pt>
                <c:pt idx="16">
                  <c:v>1208.3737524853736</c:v>
                </c:pt>
                <c:pt idx="17">
                  <c:v>1272.2505205697883</c:v>
                </c:pt>
                <c:pt idx="18">
                  <c:v>1341.8760286002189</c:v>
                </c:pt>
                <c:pt idx="19">
                  <c:v>1417.7422434406085</c:v>
                </c:pt>
                <c:pt idx="20">
                  <c:v>1500.378399251686</c:v>
                </c:pt>
                <c:pt idx="21">
                  <c:v>1590.3528985804896</c:v>
                </c:pt>
                <c:pt idx="22">
                  <c:v>1688.2751263930049</c:v>
                </c:pt>
                <c:pt idx="23">
                  <c:v>1794.7971312974751</c:v>
                </c:pt>
                <c:pt idx="24">
                  <c:v>1910.6151207908913</c:v>
                </c:pt>
                <c:pt idx="25">
                  <c:v>2036.4707098230231</c:v>
                </c:pt>
                <c:pt idx="26">
                  <c:v>2173.1518547117239</c:v>
                </c:pt>
                <c:pt idx="27">
                  <c:v>2321.4933980387118</c:v>
                </c:pt>
                <c:pt idx="28">
                  <c:v>2482.3771454100624</c:v>
                </c:pt>
                <c:pt idx="29">
                  <c:v>2656.7313929586367</c:v>
                </c:pt>
                <c:pt idx="30">
                  <c:v>2845.5298266002492</c:v>
                </c:pt>
                <c:pt idx="31">
                  <c:v>3049.7897220995123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E94-4900-BB6B-436DFF4F7359}"/>
            </c:ext>
          </c:extLst>
        </c:ser>
        <c:ser>
          <c:idx val="2"/>
          <c:order val="2"/>
          <c:tx>
            <c:strRef>
              <c:f>Premium!$H$9</c:f>
              <c:strCache>
                <c:ptCount val="1"/>
                <c:pt idx="0">
                  <c:v>Graduated_Splines</c:v>
                </c:pt>
              </c:strCache>
            </c:strRef>
          </c:tx>
          <c:spPr>
            <a:ln w="190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Premium!$E$11:$E$41</c:f>
              <c:numCache>
                <c:formatCode>0</c:formatCode>
                <c:ptCount val="31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</c:numCache>
            </c:numRef>
          </c:cat>
          <c:val>
            <c:numRef>
              <c:f>Premium!$H$10:$H$41</c:f>
              <c:numCache>
                <c:formatCode>#,##0.00</c:formatCode>
                <c:ptCount val="32"/>
                <c:pt idx="1">
                  <c:v>680.76380080931676</c:v>
                </c:pt>
                <c:pt idx="2">
                  <c:v>694.40074882603403</c:v>
                </c:pt>
                <c:pt idx="3">
                  <c:v>710.37263770705499</c:v>
                </c:pt>
                <c:pt idx="4">
                  <c:v>729.03725807917624</c:v>
                </c:pt>
                <c:pt idx="5">
                  <c:v>750.6899051155732</c:v>
                </c:pt>
                <c:pt idx="6">
                  <c:v>775.52286761472828</c:v>
                </c:pt>
                <c:pt idx="7">
                  <c:v>803.70101165751385</c:v>
                </c:pt>
                <c:pt idx="8">
                  <c:v>835.42284729011271</c:v>
                </c:pt>
                <c:pt idx="9">
                  <c:v>870.93193609012053</c:v>
                </c:pt>
                <c:pt idx="10">
                  <c:v>910.52615555531497</c:v>
                </c:pt>
                <c:pt idx="11">
                  <c:v>954.5832622355332</c:v>
                </c:pt>
                <c:pt idx="12">
                  <c:v>1003.5362061231235</c:v>
                </c:pt>
                <c:pt idx="13">
                  <c:v>1057.746571752961</c:v>
                </c:pt>
                <c:pt idx="14">
                  <c:v>1117.4319529507839</c:v>
                </c:pt>
                <c:pt idx="15">
                  <c:v>1182.7092804949473</c:v>
                </c:pt>
                <c:pt idx="16">
                  <c:v>1253.6374867353957</c:v>
                </c:pt>
                <c:pt idx="17">
                  <c:v>1330.2119487698376</c:v>
                </c:pt>
                <c:pt idx="18">
                  <c:v>1412.4536840967603</c:v>
                </c:pt>
                <c:pt idx="19">
                  <c:v>1500.4587323943942</c:v>
                </c:pt>
                <c:pt idx="20">
                  <c:v>1594.3799129801844</c:v>
                </c:pt>
                <c:pt idx="21">
                  <c:v>1694.3832960191962</c:v>
                </c:pt>
                <c:pt idx="22">
                  <c:v>1800.6792552882287</c:v>
                </c:pt>
                <c:pt idx="23">
                  <c:v>1913.4878549530947</c:v>
                </c:pt>
                <c:pt idx="24">
                  <c:v>2032.9279610840774</c:v>
                </c:pt>
                <c:pt idx="25">
                  <c:v>2158.9943754208266</c:v>
                </c:pt>
                <c:pt idx="26">
                  <c:v>2291.5638164526558</c:v>
                </c:pt>
                <c:pt idx="27">
                  <c:v>2430.4597530462343</c:v>
                </c:pt>
                <c:pt idx="28">
                  <c:v>2575.4783601956369</c:v>
                </c:pt>
                <c:pt idx="29">
                  <c:v>2726.2813229975409</c:v>
                </c:pt>
                <c:pt idx="30">
                  <c:v>2882.4325038501015</c:v>
                </c:pt>
                <c:pt idx="31">
                  <c:v>3043.3829462425338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E94-4900-BB6B-436DFF4F73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5784771"/>
        <c:axId val="66376906"/>
      </c:lineChart>
      <c:catAx>
        <c:axId val="457847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Starting 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376906"/>
        <c:crosses val="autoZero"/>
        <c:auto val="1"/>
        <c:lblAlgn val="ctr"/>
        <c:lblOffset val="100"/>
        <c:noMultiLvlLbl val="0"/>
      </c:catAx>
      <c:valAx>
        <c:axId val="66376906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Net Annual Premium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7847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8</xdr:row>
      <xdr:rowOff>156600</xdr:rowOff>
    </xdr:from>
    <xdr:to>
      <xdr:col>21</xdr:col>
      <xdr:colOff>304200</xdr:colOff>
      <xdr:row>23</xdr:row>
      <xdr:rowOff>34200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34</xdr:row>
      <xdr:rowOff>34920</xdr:rowOff>
    </xdr:from>
    <xdr:to>
      <xdr:col>22</xdr:col>
      <xdr:colOff>304200</xdr:colOff>
      <xdr:row>49</xdr:row>
      <xdr:rowOff>34200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52</xdr:row>
      <xdr:rowOff>34920</xdr:rowOff>
    </xdr:from>
    <xdr:to>
      <xdr:col>13</xdr:col>
      <xdr:colOff>410760</xdr:colOff>
      <xdr:row>67</xdr:row>
      <xdr:rowOff>34200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</xdr:row>
      <xdr:rowOff>107280</xdr:rowOff>
    </xdr:from>
    <xdr:to>
      <xdr:col>4</xdr:col>
      <xdr:colOff>1059480</xdr:colOff>
      <xdr:row>40</xdr:row>
      <xdr:rowOff>88920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41</xdr:row>
      <xdr:rowOff>107280</xdr:rowOff>
    </xdr:from>
    <xdr:to>
      <xdr:col>4</xdr:col>
      <xdr:colOff>1059480</xdr:colOff>
      <xdr:row>59</xdr:row>
      <xdr:rowOff>89280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0000000}" name="Table7" displayName="Table7" ref="A1:K42" totalsRowShown="0">
  <autoFilter ref="A1:K42" xr:uid="{00000000-0009-0000-0100-000007000000}"/>
  <tableColumns count="11">
    <tableColumn id="1" xr3:uid="{00000000-0010-0000-0000-000001000000}" name="age"/>
    <tableColumn id="2" xr3:uid="{00000000-0010-0000-0000-000002000000}" name="etr"/>
    <tableColumn id="3" xr3:uid="{00000000-0010-0000-0000-000003000000}" name="true_mortality"/>
    <tableColumn id="4" xr3:uid="{00000000-0010-0000-0000-000004000000}" name="deaths"/>
    <tableColumn id="5" xr3:uid="{00000000-0010-0000-0000-000005000000}" name="crude_mortality"/>
    <tableColumn id="6" xr3:uid="{00000000-0010-0000-0000-000006000000}" name="graduated_weighted"/>
    <tableColumn id="7" xr3:uid="{00000000-0010-0000-0000-000007000000}" name="graduated_splines"/>
    <tableColumn id="8" xr3:uid="{00000000-0010-0000-0000-000008000000}" name="zx"/>
    <tableColumn id="9" xr3:uid="{00000000-0010-0000-0000-000009000000}" name="zx_squared"/>
    <tableColumn id="10" xr3:uid="{00000000-0010-0000-0000-00000A000000}" name="spline_zx"/>
    <tableColumn id="11" xr3:uid="{00000000-0010-0000-0000-00000B000000}" name="zx_spline_squared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D13:J54" totalsRowShown="0">
  <autoFilter ref="D13:J54" xr:uid="{00000000-0009-0000-0100-000001000000}"/>
  <tableColumns count="7">
    <tableColumn id="1" xr3:uid="{00000000-0010-0000-0100-000001000000}" name="age"/>
    <tableColumn id="2" xr3:uid="{00000000-0010-0000-0100-000002000000}" name="px_Crude"/>
    <tableColumn id="3" xr3:uid="{00000000-0010-0000-0100-000003000000}" name="lx_crude"/>
    <tableColumn id="4" xr3:uid="{00000000-0010-0000-0100-000004000000}" name="px_weighted"/>
    <tableColumn id="5" xr3:uid="{00000000-0010-0000-0100-000005000000}" name="lx_weighted"/>
    <tableColumn id="6" xr3:uid="{00000000-0010-0000-0100-000006000000}" name="px_splines"/>
    <tableColumn id="7" xr3:uid="{00000000-0010-0000-0100-000007000000}" name="lx_spline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Table6" displayName="Table6" ref="N13:Q54" totalsRowShown="0">
  <autoFilter ref="N13:Q54" xr:uid="{00000000-0009-0000-0100-000006000000}"/>
  <tableColumns count="4">
    <tableColumn id="1" xr3:uid="{00000000-0010-0000-0200-000001000000}" name="Age"/>
    <tableColumn id="2" xr3:uid="{00000000-0010-0000-0200-000002000000}" name="Dx_crude"/>
    <tableColumn id="3" xr3:uid="{00000000-0010-0000-0200-000003000000}" name="Dx_Graduated_Weighted"/>
    <tableColumn id="4" xr3:uid="{00000000-0010-0000-0200-000004000000}" name="Dx_Graduated_Splines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5" displayName="Table5" ref="C8:G39" totalsRowShown="0">
  <autoFilter ref="C8:G39" xr:uid="{00000000-0009-0000-0100-000005000000}"/>
  <tableColumns count="5">
    <tableColumn id="1" xr3:uid="{00000000-0010-0000-0300-000001000000}" name="age"/>
    <tableColumn id="2" xr3:uid="{00000000-0010-0000-0300-000002000000}" name="term (n)"/>
    <tableColumn id="3" xr3:uid="{00000000-0010-0000-0300-000003000000}" name="crude"/>
    <tableColumn id="4" xr3:uid="{00000000-0010-0000-0300-000004000000}" name="Graduated_weighted"/>
    <tableColumn id="5" xr3:uid="{00000000-0010-0000-0300-000005000000}" name="Graduated_splines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Table4" displayName="Table4" ref="D8:H39" totalsRowShown="0">
  <autoFilter ref="D8:H39" xr:uid="{00000000-0009-0000-0100-000004000000}"/>
  <tableColumns count="5">
    <tableColumn id="1" xr3:uid="{00000000-0010-0000-0400-000001000000}" name="age"/>
    <tableColumn id="2" xr3:uid="{00000000-0010-0000-0400-000002000000}" name="term (n)"/>
    <tableColumn id="3" xr3:uid="{00000000-0010-0000-0400-000003000000}" name="crude"/>
    <tableColumn id="4" xr3:uid="{00000000-0010-0000-0400-000004000000}" name="Graduated_weighted"/>
    <tableColumn id="5" xr3:uid="{00000000-0010-0000-0400-000005000000}" name="Graduated_splines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Table3" displayName="Table3" ref="D9:G41" totalsRowShown="0">
  <autoFilter ref="D9:G41" xr:uid="{00000000-0009-0000-0100-000003000000}"/>
  <tableColumns count="4">
    <tableColumn id="1" xr3:uid="{00000000-0010-0000-0500-000001000000}" name="Age"/>
    <tableColumn id="2" xr3:uid="{00000000-0010-0000-0500-000002000000}" name="Crude"/>
    <tableColumn id="3" xr3:uid="{00000000-0010-0000-0500-000003000000}" name="Graduated_Weighted"/>
    <tableColumn id="4" xr3:uid="{00000000-0010-0000-0500-000004000000}" name="Graduated_Splines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6000000}" name="Table2" displayName="Table2" ref="E9:H41" totalsRowShown="0">
  <autoFilter ref="E9:H41" xr:uid="{00000000-0009-0000-0100-000002000000}"/>
  <tableColumns count="4">
    <tableColumn id="1" xr3:uid="{00000000-0010-0000-0600-000001000000}" name="Age"/>
    <tableColumn id="2" xr3:uid="{00000000-0010-0000-0600-000002000000}" name="Crude"/>
    <tableColumn id="3" xr3:uid="{00000000-0010-0000-0600-000003000000}" name="Graduated_Weighted"/>
    <tableColumn id="4" xr3:uid="{00000000-0010-0000-0600-000004000000}" name="Graduated_Splin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7" customWidth="1"/>
    <col min="2" max="2" width="10" customWidth="1"/>
    <col min="3" max="3" width="15" customWidth="1"/>
    <col min="4" max="4" width="9" customWidth="1"/>
    <col min="5" max="5" width="16" customWidth="1"/>
    <col min="6" max="6" width="12" customWidth="1"/>
    <col min="7" max="7" width="17" customWidth="1"/>
    <col min="8" max="8" width="10" customWidth="1"/>
    <col min="9" max="9" width="12" customWidth="1"/>
    <col min="10" max="10" width="11" customWidth="1"/>
    <col min="11" max="11" width="16" customWidth="1"/>
  </cols>
  <sheetData>
    <row r="1" spans="1:11" ht="34.5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</row>
    <row r="2" spans="1:11" ht="14.25" customHeight="1" x14ac:dyDescent="0.3">
      <c r="A2" s="8">
        <v>20</v>
      </c>
      <c r="B2" s="9">
        <v>1000</v>
      </c>
      <c r="C2" s="10">
        <v>1.28022053838892E-2</v>
      </c>
      <c r="D2" s="8">
        <v>16</v>
      </c>
      <c r="E2" s="10">
        <v>1.6E-2</v>
      </c>
      <c r="F2" s="10">
        <v>1.34980823673993E-2</v>
      </c>
      <c r="G2" s="10">
        <v>1.35681648586569E-2</v>
      </c>
      <c r="H2" s="11">
        <v>0.185353560935685</v>
      </c>
      <c r="I2" s="11">
        <v>0.46373934237031</v>
      </c>
      <c r="J2" s="11">
        <v>0.17923095471466999</v>
      </c>
      <c r="K2" s="11">
        <v>3.21237351279322E-2</v>
      </c>
    </row>
    <row r="3" spans="1:11" ht="14.25" customHeight="1" x14ac:dyDescent="0.3">
      <c r="A3" s="8">
        <v>21</v>
      </c>
      <c r="B3" s="9">
        <v>950</v>
      </c>
      <c r="C3" s="10">
        <v>1.30544038684392E-2</v>
      </c>
      <c r="D3" s="8">
        <v>18</v>
      </c>
      <c r="E3" s="10">
        <v>1.8947368421052602E-2</v>
      </c>
      <c r="F3" s="10">
        <v>1.3745460046802299E-2</v>
      </c>
      <c r="G3" s="10">
        <v>1.3668353977974199E-2</v>
      </c>
      <c r="H3" s="11">
        <v>0.37844556359249998</v>
      </c>
      <c r="I3" s="11">
        <v>1.8702071891272201</v>
      </c>
      <c r="J3" s="11">
        <v>0.38622166587031798</v>
      </c>
      <c r="K3" s="11">
        <v>0.149167175187643</v>
      </c>
    </row>
    <row r="4" spans="1:11" ht="14.25" customHeight="1" x14ac:dyDescent="0.3">
      <c r="A4" s="8">
        <v>22</v>
      </c>
      <c r="B4" s="9">
        <v>902.5</v>
      </c>
      <c r="C4" s="10">
        <v>1.33293002165987E-2</v>
      </c>
      <c r="D4" s="8">
        <v>12</v>
      </c>
      <c r="E4" s="10">
        <v>1.32963988919668E-2</v>
      </c>
      <c r="F4" s="10">
        <v>1.40160857334902E-2</v>
      </c>
      <c r="G4" s="10">
        <v>1.37814160983247E-2</v>
      </c>
      <c r="H4" s="11">
        <v>-5.1347206003726997E-2</v>
      </c>
      <c r="I4" s="11">
        <v>3.3350902430161901E-2</v>
      </c>
      <c r="J4" s="11">
        <v>-3.5193568128087299E-2</v>
      </c>
      <c r="K4" s="11">
        <v>1.2385872375863299E-3</v>
      </c>
    </row>
    <row r="5" spans="1:11" ht="14.25" customHeight="1" x14ac:dyDescent="0.3">
      <c r="A5" s="8">
        <v>23</v>
      </c>
      <c r="B5" s="9">
        <v>857.375</v>
      </c>
      <c r="C5" s="10">
        <v>1.3628937236092599E-2</v>
      </c>
      <c r="D5" s="8">
        <v>8</v>
      </c>
      <c r="E5" s="10">
        <v>9.3308062399766693E-3</v>
      </c>
      <c r="F5" s="10">
        <v>1.43121442237793E-2</v>
      </c>
      <c r="G5" s="10">
        <v>1.39331283898507E-2</v>
      </c>
      <c r="H5" s="11">
        <v>-0.34804973356307001</v>
      </c>
      <c r="I5" s="11">
        <v>1.4864767853582099</v>
      </c>
      <c r="J5" s="11">
        <v>-0.330315060702844</v>
      </c>
      <c r="K5" s="11">
        <v>0.109108039327123</v>
      </c>
    </row>
    <row r="6" spans="1:11" ht="14.25" customHeight="1" x14ac:dyDescent="0.3">
      <c r="A6" s="8">
        <v>24</v>
      </c>
      <c r="B6" s="9">
        <v>814.50625000000002</v>
      </c>
      <c r="C6" s="10">
        <v>1.39555415873409E-2</v>
      </c>
      <c r="D6" s="8">
        <v>6</v>
      </c>
      <c r="E6" s="10">
        <v>7.3664259789289503E-3</v>
      </c>
      <c r="F6" s="10">
        <v>1.46360256363126E-2</v>
      </c>
      <c r="G6" s="10">
        <v>1.4148817591802599E-2</v>
      </c>
      <c r="H6" s="11">
        <v>-0.49669219213086602</v>
      </c>
      <c r="I6" s="11">
        <v>2.94098120315167</v>
      </c>
      <c r="J6" s="11">
        <v>-0.47936101860576302</v>
      </c>
      <c r="K6" s="11">
        <v>0.22978698615875501</v>
      </c>
    </row>
    <row r="7" spans="1:11" ht="14.25" customHeight="1" x14ac:dyDescent="0.3">
      <c r="A7" s="8">
        <v>25</v>
      </c>
      <c r="B7" s="9">
        <v>773.78093750000005</v>
      </c>
      <c r="C7" s="10">
        <v>1.43115403302016E-2</v>
      </c>
      <c r="D7" s="8">
        <v>12</v>
      </c>
      <c r="E7" s="10">
        <v>1.55082652187978E-2</v>
      </c>
      <c r="F7" s="10">
        <v>1.4990344707798E-2</v>
      </c>
      <c r="G7" s="10">
        <v>1.44395227716437E-2</v>
      </c>
      <c r="H7" s="11">
        <v>3.4550273599137198E-2</v>
      </c>
      <c r="I7" s="11">
        <v>1.38462646377428E-2</v>
      </c>
      <c r="J7" s="11">
        <v>7.4015080972962097E-2</v>
      </c>
      <c r="K7" s="11">
        <v>5.4782322114341397E-3</v>
      </c>
    </row>
    <row r="8" spans="1:11" ht="14.25" customHeight="1" x14ac:dyDescent="0.3">
      <c r="A8" s="8">
        <v>26</v>
      </c>
      <c r="B8" s="9">
        <v>735.09189062500002</v>
      </c>
      <c r="C8" s="10">
        <v>1.4699578959919701E-2</v>
      </c>
      <c r="D8" s="8">
        <v>10</v>
      </c>
      <c r="E8" s="10">
        <v>1.36037414199981E-2</v>
      </c>
      <c r="F8" s="10">
        <v>1.5377961902117E-2</v>
      </c>
      <c r="G8" s="10">
        <v>1.47997075985426E-2</v>
      </c>
      <c r="H8" s="11">
        <v>-0.115374227964154</v>
      </c>
      <c r="I8" s="11">
        <v>0.15047280894485701</v>
      </c>
      <c r="J8" s="11">
        <v>-8.0810122131220102E-2</v>
      </c>
      <c r="K8" s="11">
        <v>6.5302758388627096E-3</v>
      </c>
    </row>
    <row r="9" spans="1:11" ht="14.25" customHeight="1" x14ac:dyDescent="0.3">
      <c r="A9" s="8">
        <v>27</v>
      </c>
      <c r="B9" s="9">
        <v>698.33729609374996</v>
      </c>
      <c r="C9" s="10">
        <v>1.51225410663125E-2</v>
      </c>
      <c r="D9" s="8">
        <v>11</v>
      </c>
      <c r="E9" s="10">
        <v>1.5751700591576701E-2</v>
      </c>
      <c r="F9" s="10">
        <v>1.58020065032215E-2</v>
      </c>
      <c r="G9" s="10">
        <v>1.5221812830014199E-2</v>
      </c>
      <c r="H9" s="11">
        <v>-3.1835141717309898E-3</v>
      </c>
      <c r="I9" s="11">
        <v>1.11838426513482E-4</v>
      </c>
      <c r="J9" s="11">
        <v>3.4811081142559201E-2</v>
      </c>
      <c r="K9" s="11">
        <v>1.2118113703138401E-3</v>
      </c>
    </row>
    <row r="10" spans="1:11" ht="14.25" customHeight="1" x14ac:dyDescent="0.3">
      <c r="A10" s="8">
        <v>28</v>
      </c>
      <c r="B10" s="9">
        <v>663.42043128906198</v>
      </c>
      <c r="C10" s="10">
        <v>1.55835697622806E-2</v>
      </c>
      <c r="D10" s="8">
        <v>10</v>
      </c>
      <c r="E10" s="10">
        <v>1.50733976952887E-2</v>
      </c>
      <c r="F10" s="10">
        <v>1.62659018782494E-2</v>
      </c>
      <c r="G10" s="10">
        <v>1.56967515500917E-2</v>
      </c>
      <c r="H10" s="11">
        <v>-7.3313130245504898E-2</v>
      </c>
      <c r="I10" s="11">
        <v>5.80003369187512E-2</v>
      </c>
      <c r="J10" s="11">
        <v>-3.9712283959756303E-2</v>
      </c>
      <c r="K10" s="11">
        <v>1.57706549730031E-3</v>
      </c>
    </row>
    <row r="11" spans="1:11" ht="14.25" customHeight="1" x14ac:dyDescent="0.3">
      <c r="A11" s="8">
        <v>29</v>
      </c>
      <c r="B11" s="9">
        <v>630.249409724609</v>
      </c>
      <c r="C11" s="10">
        <v>1.6086091040885899E-2</v>
      </c>
      <c r="D11" s="8">
        <v>17</v>
      </c>
      <c r="E11" s="10">
        <v>2.6973448507358801E-2</v>
      </c>
      <c r="F11" s="10">
        <v>1.6773393114812199E-2</v>
      </c>
      <c r="G11" s="10">
        <v>1.6215562689575601E-2</v>
      </c>
      <c r="H11" s="11">
        <v>0.60810924317627302</v>
      </c>
      <c r="I11" s="11">
        <v>3.90927824368586</v>
      </c>
      <c r="J11" s="11">
        <v>0.66342969551706998</v>
      </c>
      <c r="K11" s="11">
        <v>0.440138960893873</v>
      </c>
    </row>
    <row r="12" spans="1:11" ht="14.25" customHeight="1" x14ac:dyDescent="0.3">
      <c r="A12" s="8">
        <v>30</v>
      </c>
      <c r="B12" s="9">
        <v>598.73693923837902</v>
      </c>
      <c r="C12" s="10">
        <v>1.6633839234565601E-2</v>
      </c>
      <c r="D12" s="8">
        <v>15</v>
      </c>
      <c r="E12" s="10">
        <v>2.5052738551726399E-2</v>
      </c>
      <c r="F12" s="10">
        <v>1.7328577255573501E-2</v>
      </c>
      <c r="G12" s="10">
        <v>1.67728851004381E-2</v>
      </c>
      <c r="H12" s="11">
        <v>0.44574699828103498</v>
      </c>
      <c r="I12" s="11">
        <v>2.0614642815733899</v>
      </c>
      <c r="J12" s="11">
        <v>0.493645154170405</v>
      </c>
      <c r="K12" s="11">
        <v>0.24368553823592301</v>
      </c>
    </row>
    <row r="13" spans="1:11" ht="14.25" customHeight="1" x14ac:dyDescent="0.3">
      <c r="A13" s="8">
        <v>31</v>
      </c>
      <c r="B13" s="9">
        <v>568.80009227645996</v>
      </c>
      <c r="C13" s="10">
        <v>1.72308847656765E-2</v>
      </c>
      <c r="D13" s="8">
        <v>7</v>
      </c>
      <c r="E13" s="10">
        <v>1.23066084113744E-2</v>
      </c>
      <c r="F13" s="10">
        <v>1.79359363742067E-2</v>
      </c>
      <c r="G13" s="10">
        <v>1.7384170508074601E-2</v>
      </c>
      <c r="H13" s="11">
        <v>-0.31385748953301201</v>
      </c>
      <c r="I13" s="11">
        <v>1.0049598379824201</v>
      </c>
      <c r="J13" s="11">
        <v>-0.29207963039374202</v>
      </c>
      <c r="K13" s="11">
        <v>8.5310510490944694E-2</v>
      </c>
    </row>
    <row r="14" spans="1:11" ht="14.25" customHeight="1" x14ac:dyDescent="0.3">
      <c r="A14" s="8">
        <v>32</v>
      </c>
      <c r="B14" s="9">
        <v>540.36008766263706</v>
      </c>
      <c r="C14" s="10">
        <v>1.7881664394587399E-2</v>
      </c>
      <c r="D14" s="8">
        <v>6</v>
      </c>
      <c r="E14" s="10">
        <v>1.11037068373303E-2</v>
      </c>
      <c r="F14" s="10">
        <v>1.8600373759757999E-2</v>
      </c>
      <c r="G14" s="10">
        <v>1.8080461878146398E-2</v>
      </c>
      <c r="H14" s="11">
        <v>-0.40303850983074302</v>
      </c>
      <c r="I14" s="11">
        <v>1.6326685363961599</v>
      </c>
      <c r="J14" s="11">
        <v>-0.38587261143194701</v>
      </c>
      <c r="K14" s="11">
        <v>0.14889767225330999</v>
      </c>
    </row>
    <row r="15" spans="1:11" ht="14.25" customHeight="1" x14ac:dyDescent="0.3">
      <c r="A15" s="8">
        <v>33</v>
      </c>
      <c r="B15" s="9">
        <v>513.342083279505</v>
      </c>
      <c r="C15" s="10">
        <v>1.85910141901003E-2</v>
      </c>
      <c r="D15" s="8">
        <v>11</v>
      </c>
      <c r="E15" s="10">
        <v>2.1428206177304E-2</v>
      </c>
      <c r="F15" s="10">
        <v>1.9327253501535201E-2</v>
      </c>
      <c r="G15" s="10">
        <v>1.8885984076641601E-2</v>
      </c>
      <c r="H15" s="11">
        <v>0.10870415062347</v>
      </c>
      <c r="I15" s="11">
        <v>0.11723823340733</v>
      </c>
      <c r="J15" s="11">
        <v>0.13460892958215701</v>
      </c>
      <c r="K15" s="11">
        <v>1.8119563923254201E-2</v>
      </c>
    </row>
    <row r="16" spans="1:11" ht="14.25" customHeight="1" x14ac:dyDescent="0.3">
      <c r="A16" s="8">
        <v>34</v>
      </c>
      <c r="B16" s="9">
        <v>487.67497911552999</v>
      </c>
      <c r="C16" s="10">
        <v>1.9364205467209301E-2</v>
      </c>
      <c r="D16" s="8">
        <v>4</v>
      </c>
      <c r="E16" s="10">
        <v>8.2021841827000994E-3</v>
      </c>
      <c r="F16" s="10">
        <v>2.0122443794097899E-2</v>
      </c>
      <c r="G16" s="10">
        <v>1.98140079333377E-2</v>
      </c>
      <c r="H16" s="11">
        <v>-0.59238627938889399</v>
      </c>
      <c r="I16" s="11">
        <v>3.4436672394845198</v>
      </c>
      <c r="J16" s="11">
        <v>-0.58604113764890098</v>
      </c>
      <c r="K16" s="11">
        <v>0.34344421501681799</v>
      </c>
    </row>
    <row r="17" spans="1:11" ht="14.25" customHeight="1" x14ac:dyDescent="0.3">
      <c r="A17" s="8">
        <v>35</v>
      </c>
      <c r="B17" s="9">
        <v>463.29123015975301</v>
      </c>
      <c r="C17" s="10">
        <v>2.0206983959258198E-2</v>
      </c>
      <c r="D17" s="8">
        <v>11</v>
      </c>
      <c r="E17" s="10">
        <v>2.3743164739395001E-2</v>
      </c>
      <c r="F17" s="10">
        <v>2.0992364311954E-2</v>
      </c>
      <c r="G17" s="10">
        <v>2.08750527896918E-2</v>
      </c>
      <c r="H17" s="11">
        <v>0.13103814256284499</v>
      </c>
      <c r="I17" s="11">
        <v>0.16699785423817401</v>
      </c>
      <c r="J17" s="11">
        <v>0.137394236967845</v>
      </c>
      <c r="K17" s="11">
        <v>1.8877176351976301E-2</v>
      </c>
    </row>
    <row r="18" spans="1:11" ht="14.25" customHeight="1" x14ac:dyDescent="0.3">
      <c r="A18" s="8">
        <v>36</v>
      </c>
      <c r="B18" s="9">
        <v>440.12666865176499</v>
      </c>
      <c r="C18" s="10">
        <v>2.1125612515591401E-2</v>
      </c>
      <c r="D18" s="8">
        <v>8</v>
      </c>
      <c r="E18" s="10">
        <v>1.81765854464268E-2</v>
      </c>
      <c r="F18" s="10">
        <v>2.1944038036426E-2</v>
      </c>
      <c r="G18" s="10">
        <v>2.2066469796703E-2</v>
      </c>
      <c r="H18" s="11">
        <v>-0.17168456342198299</v>
      </c>
      <c r="I18" s="11">
        <v>0.284679850363946</v>
      </c>
      <c r="J18" s="11">
        <v>-0.17628031969378899</v>
      </c>
      <c r="K18" s="11">
        <v>3.1074751111344601E-2</v>
      </c>
    </row>
    <row r="19" spans="1:11" ht="14.25" customHeight="1" x14ac:dyDescent="0.3">
      <c r="A19" s="8">
        <v>37</v>
      </c>
      <c r="B19" s="9">
        <v>418.12033521917698</v>
      </c>
      <c r="C19" s="10">
        <v>2.2126917641994599E-2</v>
      </c>
      <c r="D19" s="8">
        <v>13</v>
      </c>
      <c r="E19" s="10">
        <v>3.1091527737308999E-2</v>
      </c>
      <c r="F19" s="10">
        <v>2.2985147953090999E-2</v>
      </c>
      <c r="G19" s="10">
        <v>2.33842702503518E-2</v>
      </c>
      <c r="H19" s="11">
        <v>0.35267903433825398</v>
      </c>
      <c r="I19" s="11">
        <v>1.1953852136061001</v>
      </c>
      <c r="J19" s="11">
        <v>0.32959153330180402</v>
      </c>
      <c r="K19" s="11">
        <v>0.10863057882423401</v>
      </c>
    </row>
    <row r="20" spans="1:11" ht="14.25" customHeight="1" x14ac:dyDescent="0.3">
      <c r="A20" s="8">
        <v>38</v>
      </c>
      <c r="B20" s="9">
        <v>397.21431845821797</v>
      </c>
      <c r="C20" s="10">
        <v>2.32183402297742E-2</v>
      </c>
      <c r="D20" s="8">
        <v>8</v>
      </c>
      <c r="E20" s="10">
        <v>2.0140260882467401E-2</v>
      </c>
      <c r="F20" s="10">
        <v>2.4124099077521399E-2</v>
      </c>
      <c r="G20" s="10">
        <v>2.4822946086838899E-2</v>
      </c>
      <c r="H20" s="11">
        <v>-0.165139356385999</v>
      </c>
      <c r="I20" s="11">
        <v>0.261322722408181</v>
      </c>
      <c r="J20" s="11">
        <v>-0.188643410334532</v>
      </c>
      <c r="K20" s="11">
        <v>3.55863362626428E-2</v>
      </c>
    </row>
    <row r="21" spans="1:11" ht="14.25" customHeight="1" x14ac:dyDescent="0.3">
      <c r="A21" s="8">
        <v>39</v>
      </c>
      <c r="B21" s="9">
        <v>377.353602535307</v>
      </c>
      <c r="C21" s="10">
        <v>2.4407990850453799E-2</v>
      </c>
      <c r="D21" s="8">
        <v>10</v>
      </c>
      <c r="E21" s="10">
        <v>2.6500343266404498E-2</v>
      </c>
      <c r="F21" s="10">
        <v>2.5370086310066899E-2</v>
      </c>
      <c r="G21" s="10">
        <v>2.6383123725675601E-2</v>
      </c>
      <c r="H21" s="11">
        <v>4.4550773005809098E-2</v>
      </c>
      <c r="I21" s="11">
        <v>1.9001195793515401E-2</v>
      </c>
      <c r="J21" s="11">
        <v>4.4429743023481601E-3</v>
      </c>
      <c r="K21" s="11">
        <v>1.9740020651326099E-5</v>
      </c>
    </row>
    <row r="22" spans="1:11" ht="14.25" customHeight="1" x14ac:dyDescent="0.3">
      <c r="A22" s="8">
        <v>40</v>
      </c>
      <c r="B22" s="9">
        <v>358.48592240854202</v>
      </c>
      <c r="C22" s="10">
        <v>2.57047100269947E-2</v>
      </c>
      <c r="D22" s="8">
        <v>14</v>
      </c>
      <c r="E22" s="10">
        <v>3.90531374452276E-2</v>
      </c>
      <c r="F22" s="10">
        <v>2.6733168667479702E-2</v>
      </c>
      <c r="G22" s="10">
        <v>2.8062678847478099E-2</v>
      </c>
      <c r="H22" s="11">
        <v>0.46084955101992298</v>
      </c>
      <c r="I22" s="11">
        <v>2.03535834294353</v>
      </c>
      <c r="J22" s="11">
        <v>0.391639681210877</v>
      </c>
      <c r="K22" s="11">
        <v>0.15338163989895801</v>
      </c>
    </row>
    <row r="23" spans="1:11" ht="14.25" customHeight="1" x14ac:dyDescent="0.3">
      <c r="A23" s="8">
        <v>41</v>
      </c>
      <c r="B23" s="9">
        <v>340.56162628811501</v>
      </c>
      <c r="C23" s="10">
        <v>2.71181339294242E-2</v>
      </c>
      <c r="D23" s="8">
        <v>11</v>
      </c>
      <c r="E23" s="10">
        <v>3.2299587360714602E-2</v>
      </c>
      <c r="F23" s="10">
        <v>2.8224350490662801E-2</v>
      </c>
      <c r="G23" s="10">
        <v>2.9860967069630599E-2</v>
      </c>
      <c r="H23" s="11">
        <v>0.144387268412073</v>
      </c>
      <c r="I23" s="11">
        <v>0.20039065655868801</v>
      </c>
      <c r="J23" s="11">
        <v>8.1665817634022295E-2</v>
      </c>
      <c r="K23" s="11">
        <v>6.6693057698333797E-3</v>
      </c>
    </row>
    <row r="24" spans="1:11" ht="14.25" customHeight="1" x14ac:dyDescent="0.3">
      <c r="A24" s="8">
        <v>42</v>
      </c>
      <c r="B24" s="9">
        <v>323.53354497370901</v>
      </c>
      <c r="C24" s="10">
        <v>2.8658765983072401E-2</v>
      </c>
      <c r="D24" s="8">
        <v>8</v>
      </c>
      <c r="E24" s="10">
        <v>2.47269568311691E-2</v>
      </c>
      <c r="F24" s="10">
        <v>2.9855670284143401E-2</v>
      </c>
      <c r="G24" s="10">
        <v>3.1788280692095799E-2</v>
      </c>
      <c r="H24" s="11">
        <v>-0.171783564199469</v>
      </c>
      <c r="I24" s="11">
        <v>0.28504233099938198</v>
      </c>
      <c r="J24" s="11">
        <v>-0.22213607364686799</v>
      </c>
      <c r="K24" s="11">
        <v>4.9344435215246597E-2</v>
      </c>
    </row>
    <row r="25" spans="1:11" ht="14.25" customHeight="1" x14ac:dyDescent="0.3">
      <c r="A25" s="8">
        <v>43</v>
      </c>
      <c r="B25" s="9">
        <v>307.35686772502402</v>
      </c>
      <c r="C25" s="10">
        <v>3.0338054921548899E-2</v>
      </c>
      <c r="D25" s="8">
        <v>9</v>
      </c>
      <c r="E25" s="10">
        <v>2.9281922563226499E-2</v>
      </c>
      <c r="F25" s="10">
        <v>3.1640297904483299E-2</v>
      </c>
      <c r="G25" s="10">
        <v>3.3858181734772001E-2</v>
      </c>
      <c r="H25" s="11">
        <v>-7.4537077633601997E-2</v>
      </c>
      <c r="I25" s="11">
        <v>5.4029159106195199E-2</v>
      </c>
      <c r="J25" s="11">
        <v>-0.135159625741087</v>
      </c>
      <c r="K25" s="11">
        <v>1.8268124430470701E-2</v>
      </c>
    </row>
    <row r="26" spans="1:11" ht="14.25" customHeight="1" x14ac:dyDescent="0.3">
      <c r="A26" s="8">
        <v>44</v>
      </c>
      <c r="B26" s="9">
        <v>291.98902433877203</v>
      </c>
      <c r="C26" s="10">
        <v>3.21684798644883E-2</v>
      </c>
      <c r="D26" s="8">
        <v>10</v>
      </c>
      <c r="E26" s="10">
        <v>3.4247862647048599E-2</v>
      </c>
      <c r="F26" s="10">
        <v>3.35926408822418E-2</v>
      </c>
      <c r="G26" s="10">
        <v>3.6077845427897097E-2</v>
      </c>
      <c r="H26" s="11">
        <v>1.95049197561954E-2</v>
      </c>
      <c r="I26" s="11">
        <v>3.7316337304836101E-3</v>
      </c>
      <c r="J26" s="11">
        <v>-5.0723172604798999E-2</v>
      </c>
      <c r="K26" s="11">
        <v>2.5728402390962301E-3</v>
      </c>
    </row>
    <row r="27" spans="1:11" ht="14.25" customHeight="1" x14ac:dyDescent="0.3">
      <c r="A27" s="8">
        <v>45</v>
      </c>
      <c r="B27" s="9">
        <v>277.38957312183402</v>
      </c>
      <c r="C27" s="10">
        <v>3.4163643052292199E-2</v>
      </c>
      <c r="D27" s="8">
        <v>17</v>
      </c>
      <c r="E27" s="10">
        <v>6.1285648947350099E-2</v>
      </c>
      <c r="F27" s="10">
        <v>3.57284607358406E-2</v>
      </c>
      <c r="G27" s="10">
        <v>3.8448899292976797E-2</v>
      </c>
      <c r="H27" s="11">
        <v>0.71531736003035096</v>
      </c>
      <c r="I27" s="11">
        <v>5.0710975923309798</v>
      </c>
      <c r="J27" s="11">
        <v>0.59395067412358005</v>
      </c>
      <c r="K27" s="11">
        <v>0.35277740329185497</v>
      </c>
    </row>
    <row r="28" spans="1:11" ht="14.25" customHeight="1" x14ac:dyDescent="0.3">
      <c r="A28" s="8">
        <v>46</v>
      </c>
      <c r="B28" s="9">
        <v>263.52009446574198</v>
      </c>
      <c r="C28" s="10">
        <v>3.6338370926998501E-2</v>
      </c>
      <c r="D28" s="8">
        <v>5</v>
      </c>
      <c r="E28" s="10">
        <v>1.8973885123018602E-2</v>
      </c>
      <c r="F28" s="10">
        <v>3.8065000216349398E-2</v>
      </c>
      <c r="G28" s="10">
        <v>4.09747962537821E-2</v>
      </c>
      <c r="H28" s="11">
        <v>-0.50153986561993802</v>
      </c>
      <c r="I28" s="11">
        <v>2.5231931247511898</v>
      </c>
      <c r="J28" s="11">
        <v>-0.53693765783478997</v>
      </c>
      <c r="K28" s="11">
        <v>0.28830204840111001</v>
      </c>
    </row>
    <row r="29" spans="1:11" ht="14.25" customHeight="1" x14ac:dyDescent="0.3">
      <c r="A29" s="8">
        <v>47</v>
      </c>
      <c r="B29" s="9">
        <v>250.344089742455</v>
      </c>
      <c r="C29" s="10">
        <v>3.8708824310428401E-2</v>
      </c>
      <c r="D29" s="8">
        <v>11</v>
      </c>
      <c r="E29" s="10">
        <v>4.3939523442779897E-2</v>
      </c>
      <c r="F29" s="10">
        <v>4.0621122510454598E-2</v>
      </c>
      <c r="G29" s="10">
        <v>4.3671500112709503E-2</v>
      </c>
      <c r="H29" s="11">
        <v>8.1691512376874706E-2</v>
      </c>
      <c r="I29" s="11">
        <v>6.7864575342119607E-2</v>
      </c>
      <c r="J29" s="11">
        <v>6.1372595257470804E-3</v>
      </c>
      <c r="K29" s="11">
        <v>3.7665954486373199E-5</v>
      </c>
    </row>
    <row r="30" spans="1:11" ht="14.25" customHeight="1" x14ac:dyDescent="0.3">
      <c r="A30" s="8">
        <v>48</v>
      </c>
      <c r="B30" s="9">
        <v>237.826885255332</v>
      </c>
      <c r="C30" s="10">
        <v>4.1292618498366997E-2</v>
      </c>
      <c r="D30" s="8">
        <v>13</v>
      </c>
      <c r="E30" s="10">
        <v>5.46616081106353E-2</v>
      </c>
      <c r="F30" s="10">
        <v>4.3417463525415201E-2</v>
      </c>
      <c r="G30" s="10">
        <v>4.6543921987584599E-2</v>
      </c>
      <c r="H30" s="11">
        <v>0.25897746372581398</v>
      </c>
      <c r="I30" s="11">
        <v>0.69254714437208098</v>
      </c>
      <c r="J30" s="11">
        <v>0.17440915540413901</v>
      </c>
      <c r="K30" s="11">
        <v>3.04185534887851E-2</v>
      </c>
    </row>
    <row r="31" spans="1:11" ht="14.25" customHeight="1" x14ac:dyDescent="0.3">
      <c r="A31" s="8">
        <v>49</v>
      </c>
      <c r="B31" s="9">
        <v>225.93554099256599</v>
      </c>
      <c r="C31" s="10">
        <v>4.4108954163219999E-2</v>
      </c>
      <c r="D31" s="8">
        <v>8</v>
      </c>
      <c r="E31" s="10">
        <v>3.5408329140492502E-2</v>
      </c>
      <c r="F31" s="10">
        <v>4.6476598485422502E-2</v>
      </c>
      <c r="G31" s="10">
        <v>4.9594614238076901E-2</v>
      </c>
      <c r="H31" s="11">
        <v>-0.238147147287502</v>
      </c>
      <c r="I31" s="11">
        <v>0.59553824399817401</v>
      </c>
      <c r="J31" s="11">
        <v>-0.28604487232189602</v>
      </c>
      <c r="K31" s="11">
        <v>8.1821668981649998E-2</v>
      </c>
    </row>
    <row r="32" spans="1:11" ht="14.25" customHeight="1" x14ac:dyDescent="0.3">
      <c r="A32" s="8">
        <v>50</v>
      </c>
      <c r="B32" s="9">
        <v>214.638763942937</v>
      </c>
      <c r="C32" s="10">
        <v>4.71787600379098E-2</v>
      </c>
      <c r="D32" s="8">
        <v>6</v>
      </c>
      <c r="E32" s="10">
        <v>2.7953944058283602E-2</v>
      </c>
      <c r="F32" s="10">
        <v>4.9823224184316499E-2</v>
      </c>
      <c r="G32" s="10">
        <v>5.2829149948869801E-2</v>
      </c>
      <c r="H32" s="11">
        <v>-0.43893747311754699</v>
      </c>
      <c r="I32" s="11">
        <v>2.0603704158682699</v>
      </c>
      <c r="J32" s="11">
        <v>-0.47086136942694501</v>
      </c>
      <c r="K32" s="11">
        <v>0.221710429218618</v>
      </c>
    </row>
    <row r="33" spans="1:11" ht="14.25" customHeight="1" x14ac:dyDescent="0.3">
      <c r="A33" s="8">
        <v>51</v>
      </c>
      <c r="B33" s="9">
        <v>203.90682574579</v>
      </c>
      <c r="C33" s="10">
        <v>5.0524848441321699E-2</v>
      </c>
      <c r="D33" s="8">
        <v>15</v>
      </c>
      <c r="E33" s="10">
        <v>7.3563010679693605E-2</v>
      </c>
      <c r="F33" s="10">
        <v>5.3484358366010502E-2</v>
      </c>
      <c r="G33" s="10">
        <v>5.6242436927098301E-2</v>
      </c>
      <c r="H33" s="11">
        <v>0.37541167038554502</v>
      </c>
      <c r="I33" s="11">
        <v>1.5370007972466799</v>
      </c>
      <c r="J33" s="11">
        <v>0.30796271817037901</v>
      </c>
      <c r="K33" s="11">
        <v>9.4841035782888397E-2</v>
      </c>
    </row>
    <row r="34" spans="1:11" ht="14.25" customHeight="1" x14ac:dyDescent="0.3">
      <c r="A34" s="8">
        <v>52</v>
      </c>
      <c r="B34" s="9">
        <v>193.71148445850099</v>
      </c>
      <c r="C34" s="10">
        <v>5.4172084801040701E-2</v>
      </c>
      <c r="D34" s="8">
        <v>5</v>
      </c>
      <c r="E34" s="10">
        <v>2.5811582694629302E-2</v>
      </c>
      <c r="F34" s="10">
        <v>5.7489557842246498E-2</v>
      </c>
      <c r="G34" s="10">
        <v>5.9815553386260802E-2</v>
      </c>
      <c r="H34" s="11">
        <v>-0.55102137390833195</v>
      </c>
      <c r="I34" s="11">
        <v>3.38128072094276</v>
      </c>
      <c r="J34" s="11">
        <v>-0.56848041632332302</v>
      </c>
      <c r="K34" s="11">
        <v>0.32316998374313899</v>
      </c>
    </row>
    <row r="35" spans="1:11" ht="14.25" customHeight="1" x14ac:dyDescent="0.3">
      <c r="A35" s="8">
        <v>53</v>
      </c>
      <c r="B35" s="9">
        <v>184.02591023557599</v>
      </c>
      <c r="C35" s="10">
        <v>5.8147572433134301E-2</v>
      </c>
      <c r="D35" s="8">
        <v>16</v>
      </c>
      <c r="E35" s="10">
        <v>8.6944278550330406E-2</v>
      </c>
      <c r="F35" s="10">
        <v>6.1871157108575103E-2</v>
      </c>
      <c r="G35" s="10">
        <v>6.3531048437247703E-2</v>
      </c>
      <c r="H35" s="11">
        <v>0.405247333547609</v>
      </c>
      <c r="I35" s="11">
        <v>1.8698533409956</v>
      </c>
      <c r="J35" s="11">
        <v>0.36853209082813998</v>
      </c>
      <c r="K35" s="11">
        <v>0.13581590197016</v>
      </c>
    </row>
    <row r="36" spans="1:11" ht="14.25" customHeight="1" x14ac:dyDescent="0.3">
      <c r="A36" s="8">
        <v>54</v>
      </c>
      <c r="B36" s="9">
        <v>174.824614723797</v>
      </c>
      <c r="C36" s="10">
        <v>6.2480853952116402E-2</v>
      </c>
      <c r="D36" s="8">
        <v>17</v>
      </c>
      <c r="E36" s="10">
        <v>9.72403115365537E-2</v>
      </c>
      <c r="F36" s="10">
        <v>6.6664529384937707E-2</v>
      </c>
      <c r="G36" s="10">
        <v>6.7359285640673894E-2</v>
      </c>
      <c r="H36" s="11">
        <v>0.45865143628426103</v>
      </c>
      <c r="I36" s="11">
        <v>2.4516750822974198</v>
      </c>
      <c r="J36" s="11">
        <v>0.443606632874333</v>
      </c>
      <c r="K36" s="11">
        <v>0.19678684473010399</v>
      </c>
    </row>
    <row r="37" spans="1:11" ht="14.25" customHeight="1" x14ac:dyDescent="0.3">
      <c r="A37" s="8">
        <v>55</v>
      </c>
      <c r="B37" s="9">
        <v>166.08338398760699</v>
      </c>
      <c r="C37" s="10">
        <v>6.7204130807806906E-2</v>
      </c>
      <c r="D37" s="8">
        <v>10</v>
      </c>
      <c r="E37" s="10">
        <v>6.02107192176803E-2</v>
      </c>
      <c r="F37" s="10">
        <v>7.1908372188265096E-2</v>
      </c>
      <c r="G37" s="10">
        <v>7.1281068021847305E-2</v>
      </c>
      <c r="H37" s="11">
        <v>-0.162674423222359</v>
      </c>
      <c r="I37" s="11">
        <v>0.31604155784380999</v>
      </c>
      <c r="J37" s="11">
        <v>-0.155305596722737</v>
      </c>
      <c r="K37" s="11">
        <v>2.4119828373405299E-2</v>
      </c>
    </row>
    <row r="38" spans="1:11" ht="14.25" customHeight="1" x14ac:dyDescent="0.3">
      <c r="A38" s="8">
        <v>56</v>
      </c>
      <c r="B38" s="9">
        <v>157.77921478822699</v>
      </c>
      <c r="C38" s="10">
        <v>7.2352502580509501E-2</v>
      </c>
      <c r="D38" s="8">
        <v>9</v>
      </c>
      <c r="E38" s="10">
        <v>5.7041733995697202E-2</v>
      </c>
      <c r="F38" s="10">
        <v>7.7645019742557303E-2</v>
      </c>
      <c r="G38" s="10">
        <v>7.5292558515342695E-2</v>
      </c>
      <c r="H38" s="11">
        <v>-0.26535231512817098</v>
      </c>
      <c r="I38" s="11">
        <v>0.86259941104351701</v>
      </c>
      <c r="J38" s="11">
        <v>-0.242398782556001</v>
      </c>
      <c r="K38" s="11">
        <v>5.8757169784631698E-2</v>
      </c>
    </row>
    <row r="39" spans="1:11" ht="14.25" customHeight="1" x14ac:dyDescent="0.3">
      <c r="A39" s="8">
        <v>57</v>
      </c>
      <c r="B39" s="9">
        <v>149.890254048815</v>
      </c>
      <c r="C39" s="10">
        <v>7.7964227812755402E-2</v>
      </c>
      <c r="D39" s="8">
        <v>9</v>
      </c>
      <c r="E39" s="10">
        <v>6.0043930521786498E-2</v>
      </c>
      <c r="F39" s="10">
        <v>8.3920784748572605E-2</v>
      </c>
      <c r="G39" s="10">
        <v>7.9386620921971601E-2</v>
      </c>
      <c r="H39" s="11">
        <v>-0.28451657474749997</v>
      </c>
      <c r="I39" s="11">
        <v>1.01825857321201</v>
      </c>
      <c r="J39" s="11">
        <v>-0.24365176619870099</v>
      </c>
      <c r="K39" s="11">
        <v>5.9366183171746502E-2</v>
      </c>
    </row>
    <row r="40" spans="1:11" ht="14.25" customHeight="1" x14ac:dyDescent="0.3">
      <c r="A40" s="8">
        <v>58</v>
      </c>
      <c r="B40" s="9">
        <v>142.39574134637499</v>
      </c>
      <c r="C40" s="10">
        <v>8.4081008315903399E-2</v>
      </c>
      <c r="D40" s="8">
        <v>14</v>
      </c>
      <c r="E40" s="10">
        <v>9.8317547053217602E-2</v>
      </c>
      <c r="F40" s="10">
        <v>9.0786332272275394E-2</v>
      </c>
      <c r="G40" s="10">
        <v>8.3545438660535001E-2</v>
      </c>
      <c r="H40" s="11">
        <v>8.2955380974699094E-2</v>
      </c>
      <c r="I40" s="11">
        <v>8.8962421674744205E-2</v>
      </c>
      <c r="J40" s="11">
        <v>0.176815259211281</v>
      </c>
      <c r="K40" s="11">
        <v>3.1263635889952499E-2</v>
      </c>
    </row>
    <row r="41" spans="1:11" ht="14.25" customHeight="1" x14ac:dyDescent="0.3">
      <c r="A41" s="8">
        <v>59</v>
      </c>
      <c r="B41" s="9">
        <v>135.27595427905601</v>
      </c>
      <c r="C41" s="10">
        <v>9.0748299064334695E-2</v>
      </c>
      <c r="D41" s="8">
        <v>13</v>
      </c>
      <c r="E41" s="10">
        <v>9.6099858021942097E-2</v>
      </c>
      <c r="F41" s="10">
        <v>9.8297088770493798E-2</v>
      </c>
      <c r="G41" s="10">
        <v>8.7743060318323393E-2</v>
      </c>
      <c r="H41" s="11">
        <v>-2.23529585263905E-2</v>
      </c>
      <c r="I41" s="11">
        <v>6.6440254385491202E-3</v>
      </c>
      <c r="J41" s="11">
        <v>9.5241694024587598E-2</v>
      </c>
      <c r="K41" s="11">
        <v>9.0709802806731698E-3</v>
      </c>
    </row>
    <row r="42" spans="1:11" ht="14.25" customHeight="1" x14ac:dyDescent="0.3">
      <c r="A42" s="8">
        <v>60</v>
      </c>
      <c r="B42" s="9">
        <v>128.512156565103</v>
      </c>
      <c r="C42" s="10">
        <v>9.8015645980124799E-2</v>
      </c>
      <c r="D42" s="8">
        <v>16</v>
      </c>
      <c r="E42" s="10">
        <v>0.124501840352314</v>
      </c>
      <c r="F42" s="10">
        <v>0.106513689555904</v>
      </c>
      <c r="G42" s="10">
        <v>9.1957907679828796E-2</v>
      </c>
      <c r="H42" s="11">
        <v>0.168881116327943</v>
      </c>
      <c r="I42" s="11">
        <v>0.39040180978227701</v>
      </c>
      <c r="J42" s="11">
        <v>0.35390031693406399</v>
      </c>
      <c r="K42" s="11">
        <v>0.125245434326031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4"/>
  <sheetViews>
    <sheetView topLeftCell="J1" zoomScaleNormal="100" workbookViewId="0">
      <pane ySplit="13" topLeftCell="A14" activePane="bottomLeft" state="frozen"/>
      <selection activeCell="C1" sqref="C1"/>
      <selection pane="bottomLeft" activeCell="N12" sqref="N12:Q12"/>
    </sheetView>
  </sheetViews>
  <sheetFormatPr defaultColWidth="8.6640625" defaultRowHeight="14.4" x14ac:dyDescent="0.3"/>
  <cols>
    <col min="1" max="1" width="3" customWidth="1"/>
    <col min="2" max="2" width="20" customWidth="1"/>
    <col min="3" max="3" width="12" customWidth="1"/>
    <col min="4" max="4" width="7" customWidth="1"/>
    <col min="5" max="5" width="11" customWidth="1"/>
    <col min="6" max="10" width="13" customWidth="1"/>
    <col min="14" max="14" width="7" customWidth="1"/>
    <col min="15" max="15" width="12" customWidth="1"/>
    <col min="16" max="17" width="20" customWidth="1"/>
  </cols>
  <sheetData>
    <row r="1" spans="1:17" ht="15.75" customHeight="1" x14ac:dyDescent="0.3">
      <c r="A1" s="12" t="s">
        <v>11</v>
      </c>
      <c r="B1" s="13" t="s">
        <v>12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ht="14.2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17" ht="14.25" customHeight="1" x14ac:dyDescent="0.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</row>
    <row r="4" spans="1:17" ht="14.25" customHeight="1" x14ac:dyDescent="0.3">
      <c r="A4" s="14"/>
      <c r="B4" s="15" t="s">
        <v>13</v>
      </c>
      <c r="C4" s="16">
        <f>50000</f>
        <v>50000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</row>
    <row r="5" spans="1:17" ht="14.25" customHeight="1" x14ac:dyDescent="0.3">
      <c r="A5" s="14"/>
      <c r="B5" s="15" t="s">
        <v>14</v>
      </c>
      <c r="C5" s="17">
        <v>0.05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</row>
    <row r="6" spans="1:17" ht="14.25" customHeight="1" x14ac:dyDescent="0.3">
      <c r="A6" s="14"/>
      <c r="B6" s="15" t="s">
        <v>15</v>
      </c>
      <c r="C6" s="18">
        <f>1/(1+C5)</f>
        <v>0.95238095238095233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</row>
    <row r="7" spans="1:17" ht="14.25" customHeight="1" x14ac:dyDescent="0.3">
      <c r="A7" s="14"/>
      <c r="B7" s="15" t="s">
        <v>16</v>
      </c>
      <c r="C7" s="19">
        <v>10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</row>
    <row r="8" spans="1:17" ht="14.25" customHeight="1" x14ac:dyDescent="0.3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</row>
    <row r="9" spans="1:17" ht="14.25" customHeight="1" x14ac:dyDescent="0.3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</row>
    <row r="10" spans="1:17" ht="14.25" customHeight="1" x14ac:dyDescent="0.3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</row>
    <row r="11" spans="1:17" ht="14.25" customHeight="1" x14ac:dyDescent="0.3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</row>
    <row r="12" spans="1:17" ht="14.25" customHeight="1" x14ac:dyDescent="0.3">
      <c r="A12" s="14"/>
      <c r="B12" s="14"/>
      <c r="C12" s="14"/>
      <c r="D12" s="5" t="s">
        <v>17</v>
      </c>
      <c r="E12" s="5"/>
      <c r="F12" s="5"/>
      <c r="G12" s="5"/>
      <c r="H12" s="5"/>
      <c r="I12" s="5"/>
      <c r="J12" s="5"/>
      <c r="K12" s="14"/>
      <c r="L12" s="14"/>
      <c r="M12" s="14"/>
      <c r="N12" s="5" t="s">
        <v>18</v>
      </c>
      <c r="O12" s="5"/>
      <c r="P12" s="5"/>
      <c r="Q12" s="5"/>
    </row>
    <row r="13" spans="1:17" ht="23.25" customHeight="1" x14ac:dyDescent="0.3">
      <c r="A13" s="14"/>
      <c r="B13" s="14"/>
      <c r="C13" s="14"/>
      <c r="D13" s="7" t="s">
        <v>0</v>
      </c>
      <c r="E13" s="7" t="s">
        <v>19</v>
      </c>
      <c r="F13" s="7" t="s">
        <v>20</v>
      </c>
      <c r="G13" s="7" t="s">
        <v>21</v>
      </c>
      <c r="H13" s="7" t="s">
        <v>22</v>
      </c>
      <c r="I13" s="7" t="s">
        <v>23</v>
      </c>
      <c r="J13" s="7" t="s">
        <v>24</v>
      </c>
      <c r="K13" s="14"/>
      <c r="L13" s="14"/>
      <c r="M13" s="14"/>
      <c r="N13" s="7" t="s">
        <v>25</v>
      </c>
      <c r="O13" s="7" t="s">
        <v>26</v>
      </c>
      <c r="P13" s="7" t="s">
        <v>27</v>
      </c>
      <c r="Q13" s="7" t="s">
        <v>28</v>
      </c>
    </row>
    <row r="14" spans="1:17" ht="14.25" customHeight="1" x14ac:dyDescent="0.3">
      <c r="A14" s="14"/>
      <c r="B14" s="14"/>
      <c r="C14" s="14"/>
      <c r="D14" s="8">
        <f>graduation_data!A2</f>
        <v>20</v>
      </c>
      <c r="E14" s="20">
        <f>EXP(-graduation_data!E2)</f>
        <v>0.98412732005528514</v>
      </c>
      <c r="F14" s="21">
        <f>100000</f>
        <v>100000</v>
      </c>
      <c r="G14" s="20">
        <f>EXP(-graduation_data!F2)</f>
        <v>0.98659260823806783</v>
      </c>
      <c r="H14" s="21">
        <f>100000</f>
        <v>100000</v>
      </c>
      <c r="I14" s="20">
        <f>EXP(-graduation_data!G2)</f>
        <v>0.9865234677930218</v>
      </c>
      <c r="J14" s="21">
        <f>100000</f>
        <v>100000</v>
      </c>
      <c r="K14" s="14"/>
      <c r="L14" s="14"/>
      <c r="M14" s="14"/>
      <c r="N14" s="8">
        <f>Table1[[#This Row],[age]]</f>
        <v>20</v>
      </c>
      <c r="O14" s="21">
        <f>Table1[[#This Row],[lx_crude]]-F15</f>
        <v>1587.267994471491</v>
      </c>
      <c r="P14" s="21">
        <f>Table1[[#This Row],[lx_weighted]]-H15</f>
        <v>1340.7391761932231</v>
      </c>
      <c r="Q14" s="21">
        <f>Table1[[#This Row],[lx_splines]]-J15</f>
        <v>1347.6532206978154</v>
      </c>
    </row>
    <row r="15" spans="1:17" ht="14.25" customHeight="1" x14ac:dyDescent="0.3">
      <c r="A15" s="14"/>
      <c r="B15" s="14"/>
      <c r="C15" s="14"/>
      <c r="D15" s="8">
        <f>graduation_data!A3</f>
        <v>21</v>
      </c>
      <c r="E15" s="20">
        <f>EXP(-graduation_data!E3)</f>
        <v>0.98123100462086943</v>
      </c>
      <c r="F15" s="21">
        <f t="shared" ref="F15:F54" si="0">F14*E14</f>
        <v>98412.732005528509</v>
      </c>
      <c r="G15" s="20">
        <f>EXP(-graduation_data!F3)</f>
        <v>0.98634857743325732</v>
      </c>
      <c r="H15" s="21">
        <f t="shared" ref="H15:H54" si="1">H14*G14</f>
        <v>98659.260823806777</v>
      </c>
      <c r="I15" s="20">
        <f>EXP(-graduation_data!G3)</f>
        <v>0.98642463382672441</v>
      </c>
      <c r="J15" s="21">
        <f t="shared" ref="J15:J54" si="2">J14*I14</f>
        <v>98652.346779302185</v>
      </c>
      <c r="K15" s="14"/>
      <c r="L15" s="14"/>
      <c r="M15" s="14"/>
      <c r="N15" s="8">
        <f>Table1[[#This Row],[age]]</f>
        <v>21</v>
      </c>
      <c r="O15" s="21">
        <f>Table1[[#This Row],[lx_crude]]-F16</f>
        <v>1847.108112259375</v>
      </c>
      <c r="P15" s="21">
        <f>Table1[[#This Row],[lx_weighted]]-H16</f>
        <v>1346.8392596282647</v>
      </c>
      <c r="Q15" s="21">
        <f>Table1[[#This Row],[lx_splines]]-J16</f>
        <v>1339.2417313819897</v>
      </c>
    </row>
    <row r="16" spans="1:17" ht="14.25" customHeight="1" x14ac:dyDescent="0.3">
      <c r="A16" s="14"/>
      <c r="B16" s="14"/>
      <c r="C16" s="14"/>
      <c r="D16" s="8">
        <f>graduation_data!A4</f>
        <v>22</v>
      </c>
      <c r="E16" s="20">
        <f>EXP(-graduation_data!E4)</f>
        <v>0.98679160773091334</v>
      </c>
      <c r="F16" s="21">
        <f t="shared" si="0"/>
        <v>96565.623893269134</v>
      </c>
      <c r="G16" s="20">
        <f>EXP(-graduation_data!F4)</f>
        <v>0.98608168228814563</v>
      </c>
      <c r="H16" s="21">
        <f t="shared" si="1"/>
        <v>97312.421564178512</v>
      </c>
      <c r="I16" s="20">
        <f>EXP(-graduation_data!G4)</f>
        <v>0.98631311287057466</v>
      </c>
      <c r="J16" s="21">
        <f t="shared" si="2"/>
        <v>97313.105047920195</v>
      </c>
      <c r="K16" s="14"/>
      <c r="L16" s="14"/>
      <c r="M16" s="14"/>
      <c r="N16" s="8">
        <f>Table1[[#This Row],[age]]</f>
        <v>22</v>
      </c>
      <c r="O16" s="21">
        <f>Table1[[#This Row],[lx_crude]]-F17</f>
        <v>1275.4766400913795</v>
      </c>
      <c r="P16" s="21">
        <f>Table1[[#This Row],[lx_weighted]]-H17</f>
        <v>1354.4252006401512</v>
      </c>
      <c r="Q16" s="21">
        <f>Table1[[#This Row],[lx_splines]]-J17</f>
        <v>1331.9134850047994</v>
      </c>
    </row>
    <row r="17" spans="1:17" ht="14.25" customHeight="1" x14ac:dyDescent="0.3">
      <c r="A17" s="14"/>
      <c r="B17" s="14"/>
      <c r="C17" s="14"/>
      <c r="D17" s="8">
        <f>graduation_data!A5</f>
        <v>23</v>
      </c>
      <c r="E17" s="20">
        <f>EXP(-graduation_data!E5)</f>
        <v>0.99071259065168393</v>
      </c>
      <c r="F17" s="21">
        <f t="shared" si="0"/>
        <v>95290.147253177754</v>
      </c>
      <c r="G17" s="20">
        <f>EXP(-graduation_data!F5)</f>
        <v>0.98578978764506142</v>
      </c>
      <c r="H17" s="21">
        <f t="shared" si="1"/>
        <v>95957.996363538361</v>
      </c>
      <c r="I17" s="20">
        <f>EXP(-graduation_data!G5)</f>
        <v>0.98616348839828172</v>
      </c>
      <c r="J17" s="21">
        <f t="shared" si="2"/>
        <v>95981.191562915395</v>
      </c>
      <c r="K17" s="14"/>
      <c r="L17" s="14"/>
      <c r="M17" s="14"/>
      <c r="N17" s="8">
        <f>Table1[[#This Row],[age]]</f>
        <v>23</v>
      </c>
      <c r="O17" s="21">
        <f>Table1[[#This Row],[lx_crude]]-F18</f>
        <v>884.99860440158227</v>
      </c>
      <c r="P17" s="21">
        <f>Table1[[#This Row],[lx_weighted]]-H18</f>
        <v>1363.5835054803028</v>
      </c>
      <c r="Q17" s="21">
        <f>Table1[[#This Row],[lx_splines]]-J18</f>
        <v>1328.0448706070165</v>
      </c>
    </row>
    <row r="18" spans="1:17" ht="14.25" customHeight="1" x14ac:dyDescent="0.3">
      <c r="A18" s="14"/>
      <c r="B18" s="14"/>
      <c r="C18" s="14"/>
      <c r="D18" s="8">
        <f>graduation_data!A6</f>
        <v>24</v>
      </c>
      <c r="E18" s="20">
        <f>EXP(-graduation_data!E6)</f>
        <v>0.99266063963719298</v>
      </c>
      <c r="F18" s="21">
        <f t="shared" si="0"/>
        <v>94405.148648776172</v>
      </c>
      <c r="G18" s="20">
        <f>EXP(-graduation_data!F6)</f>
        <v>0.98547056035486147</v>
      </c>
      <c r="H18" s="21">
        <f t="shared" si="1"/>
        <v>94594.412858058058</v>
      </c>
      <c r="I18" s="20">
        <f>EXP(-graduation_data!G6)</f>
        <v>0.98595080651989186</v>
      </c>
      <c r="J18" s="21">
        <f t="shared" si="2"/>
        <v>94653.146692308379</v>
      </c>
      <c r="K18" s="14"/>
      <c r="L18" s="14"/>
      <c r="M18" s="14"/>
      <c r="N18" s="8">
        <f>Table1[[#This Row],[age]]</f>
        <v>24</v>
      </c>
      <c r="O18" s="21">
        <f>Table1[[#This Row],[lx_crude]]-F19</f>
        <v>692.87340603773191</v>
      </c>
      <c r="P18" s="21">
        <f>Table1[[#This Row],[lx_weighted]]-H19</f>
        <v>1374.4038123884675</v>
      </c>
      <c r="Q18" s="21">
        <f>Table1[[#This Row],[lx_splines]]-J19</f>
        <v>1329.8003713812941</v>
      </c>
    </row>
    <row r="19" spans="1:17" ht="14.25" customHeight="1" x14ac:dyDescent="0.3">
      <c r="A19" s="14"/>
      <c r="B19" s="14"/>
      <c r="C19" s="14"/>
      <c r="D19" s="8">
        <f>graduation_data!A7</f>
        <v>25</v>
      </c>
      <c r="E19" s="20">
        <f>EXP(-graduation_data!E7)</f>
        <v>0.98461136868970855</v>
      </c>
      <c r="F19" s="21">
        <f t="shared" si="0"/>
        <v>93712.27524273844</v>
      </c>
      <c r="G19" s="20">
        <f>EXP(-graduation_data!F7)</f>
        <v>0.98512145119260974</v>
      </c>
      <c r="H19" s="21">
        <f t="shared" si="1"/>
        <v>93220.009045669591</v>
      </c>
      <c r="I19" s="20">
        <f>EXP(-graduation_data!G7)</f>
        <v>0.98566422717043689</v>
      </c>
      <c r="J19" s="21">
        <f t="shared" si="2"/>
        <v>93323.346320927085</v>
      </c>
      <c r="K19" s="14"/>
      <c r="L19" s="14"/>
      <c r="M19" s="14"/>
      <c r="N19" s="8">
        <f>Table1[[#This Row],[age]]</f>
        <v>25</v>
      </c>
      <c r="O19" s="21">
        <f>Table1[[#This Row],[lx_crude]]-F20</f>
        <v>1442.1036529590492</v>
      </c>
      <c r="P19" s="21">
        <f>Table1[[#This Row],[lx_weighted]]-H20</f>
        <v>1386.97845441135</v>
      </c>
      <c r="Q19" s="21">
        <f>Table1[[#This Row],[lx_splines]]-J20</f>
        <v>1337.8622925514501</v>
      </c>
    </row>
    <row r="20" spans="1:17" ht="14.25" customHeight="1" x14ac:dyDescent="0.3">
      <c r="A20" s="14"/>
      <c r="B20" s="14"/>
      <c r="C20" s="14"/>
      <c r="D20" s="8">
        <f>graduation_data!A8</f>
        <v>26</v>
      </c>
      <c r="E20" s="20">
        <f>EXP(-graduation_data!E8)</f>
        <v>0.98648837130466516</v>
      </c>
      <c r="F20" s="21">
        <f t="shared" si="0"/>
        <v>92270.171589779391</v>
      </c>
      <c r="G20" s="20">
        <f>EXP(-graduation_data!F8)</f>
        <v>0.98473967517588923</v>
      </c>
      <c r="H20" s="21">
        <f t="shared" si="1"/>
        <v>91833.030591258241</v>
      </c>
      <c r="I20" s="20">
        <f>EXP(-graduation_data!G8)</f>
        <v>0.98530926980035993</v>
      </c>
      <c r="J20" s="21">
        <f t="shared" si="2"/>
        <v>91985.484028375635</v>
      </c>
      <c r="K20" s="14"/>
      <c r="L20" s="14"/>
      <c r="M20" s="14"/>
      <c r="N20" s="8">
        <f>Table1[[#This Row],[age]]</f>
        <v>26</v>
      </c>
      <c r="O20" s="21">
        <f>Table1[[#This Row],[lx_crude]]-F21</f>
        <v>1246.7202981759328</v>
      </c>
      <c r="P20" s="21">
        <f>Table1[[#This Row],[lx_weighted]]-H21</f>
        <v>1401.4018764050998</v>
      </c>
      <c r="Q20" s="21">
        <f>Table1[[#This Row],[lx_splines]]-J21</f>
        <v>1351.3339281441731</v>
      </c>
    </row>
    <row r="21" spans="1:17" ht="14.25" customHeight="1" x14ac:dyDescent="0.3">
      <c r="A21" s="14"/>
      <c r="B21" s="14"/>
      <c r="C21" s="14"/>
      <c r="D21" s="8">
        <f>graduation_data!A9</f>
        <v>27</v>
      </c>
      <c r="E21" s="20">
        <f>EXP(-graduation_data!E9)</f>
        <v>0.98437170862618129</v>
      </c>
      <c r="F21" s="21">
        <f t="shared" si="0"/>
        <v>91023.451291603458</v>
      </c>
      <c r="G21" s="20">
        <f>EXP(-graduation_data!F9)</f>
        <v>0.9843221901555278</v>
      </c>
      <c r="H21" s="21">
        <f t="shared" si="1"/>
        <v>90431.628714853141</v>
      </c>
      <c r="I21" s="20">
        <f>EXP(-graduation_data!G9)</f>
        <v>0.98489345336827938</v>
      </c>
      <c r="J21" s="21">
        <f t="shared" si="2"/>
        <v>90634.150100231462</v>
      </c>
      <c r="K21" s="14"/>
      <c r="L21" s="14"/>
      <c r="M21" s="14"/>
      <c r="N21" s="8">
        <f>Table1[[#This Row],[age]]</f>
        <v>27</v>
      </c>
      <c r="O21" s="21">
        <f>Table1[[#This Row],[lx_crude]]-F22</f>
        <v>1422.5410186357767</v>
      </c>
      <c r="P21" s="21">
        <f>Table1[[#This Row],[lx_weighted]]-H22</f>
        <v>1417.7698789173737</v>
      </c>
      <c r="Q21" s="21">
        <f>Table1[[#This Row],[lx_splines]]-J22</f>
        <v>1369.1690149155183</v>
      </c>
    </row>
    <row r="22" spans="1:17" ht="14.25" customHeight="1" x14ac:dyDescent="0.3">
      <c r="A22" s="14"/>
      <c r="B22" s="14"/>
      <c r="C22" s="14"/>
      <c r="D22" s="8">
        <f>graduation_data!A10</f>
        <v>28</v>
      </c>
      <c r="E22" s="20">
        <f>EXP(-graduation_data!E10)</f>
        <v>0.98503963731053767</v>
      </c>
      <c r="F22" s="21">
        <f t="shared" si="0"/>
        <v>89600.910272967682</v>
      </c>
      <c r="G22" s="20">
        <f>EXP(-graduation_data!F10)</f>
        <v>0.98386567354013743</v>
      </c>
      <c r="H22" s="21">
        <f t="shared" si="1"/>
        <v>89013.858835935767</v>
      </c>
      <c r="I22" s="20">
        <f>EXP(-graduation_data!G10)</f>
        <v>0.98442580039416694</v>
      </c>
      <c r="J22" s="21">
        <f t="shared" si="2"/>
        <v>89264.981085315943</v>
      </c>
      <c r="K22" s="14"/>
      <c r="L22" s="14"/>
      <c r="M22" s="14"/>
      <c r="N22" s="8">
        <f>Table1[[#This Row],[age]]</f>
        <v>28</v>
      </c>
      <c r="O22" s="21">
        <f>Table1[[#This Row],[lx_crude]]-F23</f>
        <v>1340.4621149895684</v>
      </c>
      <c r="P22" s="21">
        <f>Table1[[#This Row],[lx_weighted]]-H23</f>
        <v>1436.1786579111067</v>
      </c>
      <c r="Q22" s="21">
        <f>Table1[[#This Row],[lx_splines]]-J23</f>
        <v>1390.2306332336302</v>
      </c>
    </row>
    <row r="23" spans="1:17" ht="14.25" customHeight="1" x14ac:dyDescent="0.3">
      <c r="A23" s="14"/>
      <c r="B23" s="14"/>
      <c r="C23" s="14"/>
      <c r="D23" s="8">
        <f>graduation_data!A11</f>
        <v>29</v>
      </c>
      <c r="E23" s="20">
        <f>EXP(-graduation_data!E11)</f>
        <v>0.97338708606128233</v>
      </c>
      <c r="F23" s="21">
        <f t="shared" si="0"/>
        <v>88260.448157978113</v>
      </c>
      <c r="G23" s="20">
        <f>EXP(-graduation_data!F11)</f>
        <v>0.98336649700743217</v>
      </c>
      <c r="H23" s="21">
        <f t="shared" si="1"/>
        <v>87577.680178024661</v>
      </c>
      <c r="I23" s="20">
        <f>EXP(-graduation_data!G11)</f>
        <v>0.98391520178650282</v>
      </c>
      <c r="J23" s="21">
        <f t="shared" si="2"/>
        <v>87874.750452082313</v>
      </c>
      <c r="K23" s="14"/>
      <c r="L23" s="14"/>
      <c r="M23" s="14"/>
      <c r="N23" s="8">
        <f>Table1[[#This Row],[age]]</f>
        <v>29</v>
      </c>
      <c r="O23" s="21">
        <f>Table1[[#This Row],[lx_crude]]-F24</f>
        <v>2348.8677110209246</v>
      </c>
      <c r="P23" s="21">
        <f>Table1[[#This Row],[lx_weighted]]-H24</f>
        <v>1456.723605323321</v>
      </c>
      <c r="Q23" s="21">
        <f>Table1[[#This Row],[lx_splines]]-J24</f>
        <v>1413.4476290831662</v>
      </c>
    </row>
    <row r="24" spans="1:17" ht="14.25" customHeight="1" x14ac:dyDescent="0.3">
      <c r="A24" s="14"/>
      <c r="B24" s="14"/>
      <c r="C24" s="14"/>
      <c r="D24" s="8">
        <f>graduation_data!A12</f>
        <v>30</v>
      </c>
      <c r="E24" s="20">
        <f>EXP(-graduation_data!E12)</f>
        <v>0.97525847695240553</v>
      </c>
      <c r="F24" s="21">
        <f t="shared" si="0"/>
        <v>85911.580446957189</v>
      </c>
      <c r="G24" s="20">
        <f>EXP(-graduation_data!F12)</f>
        <v>0.9828206990469428</v>
      </c>
      <c r="H24" s="21">
        <f t="shared" si="1"/>
        <v>86120.95657270134</v>
      </c>
      <c r="I24" s="20">
        <f>EXP(-graduation_data!G12)</f>
        <v>0.98336699657187454</v>
      </c>
      <c r="J24" s="21">
        <f t="shared" si="2"/>
        <v>86461.302822999147</v>
      </c>
      <c r="K24" s="14"/>
      <c r="L24" s="14"/>
      <c r="M24" s="14"/>
      <c r="N24" s="8">
        <f>Table1[[#This Row],[age]]</f>
        <v>30</v>
      </c>
      <c r="O24" s="21">
        <f>Table1[[#This Row],[lx_crude]]-F25</f>
        <v>2125.583347683656</v>
      </c>
      <c r="P24" s="21">
        <f>Table1[[#This Row],[lx_weighted]]-H25</f>
        <v>1479.4978313276079</v>
      </c>
      <c r="Q24" s="21">
        <f>Table1[[#This Row],[lx_splines]]-J25</f>
        <v>1438.1111462551344</v>
      </c>
    </row>
    <row r="25" spans="1:17" ht="14.25" customHeight="1" x14ac:dyDescent="0.3">
      <c r="A25" s="14"/>
      <c r="B25" s="14"/>
      <c r="C25" s="14"/>
      <c r="D25" s="8">
        <f>graduation_data!A13</f>
        <v>31</v>
      </c>
      <c r="E25" s="20">
        <f>EXP(-graduation_data!E13)</f>
        <v>0.98776880820265711</v>
      </c>
      <c r="F25" s="21">
        <f t="shared" si="0"/>
        <v>83785.997099273533</v>
      </c>
      <c r="G25" s="20">
        <f>EXP(-graduation_data!F13)</f>
        <v>0.98222395517065675</v>
      </c>
      <c r="H25" s="21">
        <f t="shared" si="1"/>
        <v>84641.458741373732</v>
      </c>
      <c r="I25" s="20">
        <f>EXP(-graduation_data!G13)</f>
        <v>0.98276606236638686</v>
      </c>
      <c r="J25" s="21">
        <f t="shared" si="2"/>
        <v>85023.191676744013</v>
      </c>
      <c r="K25" s="14"/>
      <c r="L25" s="14"/>
      <c r="M25" s="14"/>
      <c r="N25" s="8">
        <f>Table1[[#This Row],[age]]</f>
        <v>31</v>
      </c>
      <c r="O25" s="21">
        <f>Table1[[#This Row],[lx_crude]]-F26</f>
        <v>1024.8026004528365</v>
      </c>
      <c r="P25" s="21">
        <f>Table1[[#This Row],[lx_weighted]]-H26</f>
        <v>1504.5903650076652</v>
      </c>
      <c r="Q25" s="21">
        <f>Table1[[#This Row],[lx_splines]]-J26</f>
        <v>1465.2843827677425</v>
      </c>
    </row>
    <row r="26" spans="1:17" ht="14.25" customHeight="1" x14ac:dyDescent="0.3">
      <c r="A26" s="14"/>
      <c r="B26" s="14"/>
      <c r="C26" s="14"/>
      <c r="D26" s="8">
        <f>graduation_data!A14</f>
        <v>32</v>
      </c>
      <c r="E26" s="20">
        <f>EXP(-graduation_data!E14)</f>
        <v>0.9889577117804691</v>
      </c>
      <c r="F26" s="21">
        <f t="shared" si="0"/>
        <v>82761.194498820696</v>
      </c>
      <c r="G26" s="20">
        <f>EXP(-graduation_data!F14)</f>
        <v>0.98157154562050719</v>
      </c>
      <c r="H26" s="21">
        <f t="shared" si="1"/>
        <v>83136.868376366067</v>
      </c>
      <c r="I26" s="20">
        <f>EXP(-graduation_data!G14)</f>
        <v>0.98208200901622089</v>
      </c>
      <c r="J26" s="21">
        <f t="shared" si="2"/>
        <v>83557.90729397627</v>
      </c>
      <c r="K26" s="14"/>
      <c r="L26" s="14"/>
      <c r="M26" s="14"/>
      <c r="N26" s="8">
        <f>Table1[[#This Row],[age]]</f>
        <v>32</v>
      </c>
      <c r="O26" s="21">
        <f>Table1[[#This Row],[lx_crude]]-F27</f>
        <v>913.87296304863412</v>
      </c>
      <c r="P26" s="21">
        <f>Table1[[#This Row],[lx_weighted]]-H27</f>
        <v>1532.0839861277636</v>
      </c>
      <c r="Q26" s="21">
        <f>Table1[[#This Row],[lx_splines]]-J27</f>
        <v>1497.1898295169231</v>
      </c>
    </row>
    <row r="27" spans="1:17" ht="14.25" customHeight="1" x14ac:dyDescent="0.3">
      <c r="A27" s="14"/>
      <c r="B27" s="14"/>
      <c r="C27" s="14"/>
      <c r="D27" s="8">
        <f>graduation_data!A15</f>
        <v>33</v>
      </c>
      <c r="E27" s="20">
        <f>EXP(-graduation_data!E15)</f>
        <v>0.97879974672213932</v>
      </c>
      <c r="F27" s="21">
        <f t="shared" si="0"/>
        <v>81847.321535772062</v>
      </c>
      <c r="G27" s="20">
        <f>EXP(-graduation_data!F15)</f>
        <v>0.98085832039477761</v>
      </c>
      <c r="H27" s="21">
        <f t="shared" si="1"/>
        <v>81604.784390238303</v>
      </c>
      <c r="I27" s="20">
        <f>EXP(-graduation_data!G15)</f>
        <v>0.98129123869149948</v>
      </c>
      <c r="J27" s="21">
        <f t="shared" si="2"/>
        <v>82060.717464459347</v>
      </c>
      <c r="K27" s="14"/>
      <c r="L27" s="14"/>
      <c r="M27" s="14"/>
      <c r="N27" s="8">
        <f>Table1[[#This Row],[age]]</f>
        <v>33</v>
      </c>
      <c r="O27" s="21">
        <f>Table1[[#This Row],[lx_crude]]-F28</f>
        <v>1735.1839466728707</v>
      </c>
      <c r="P27" s="21">
        <f>Table1[[#This Row],[lx_weighted]]-H28</f>
        <v>1562.0526370511943</v>
      </c>
      <c r="Q27" s="21">
        <f>Table1[[#This Row],[lx_splines]]-J28</f>
        <v>1535.2543758468673</v>
      </c>
    </row>
    <row r="28" spans="1:17" ht="14.25" customHeight="1" x14ac:dyDescent="0.3">
      <c r="A28" s="14"/>
      <c r="B28" s="14"/>
      <c r="C28" s="14"/>
      <c r="D28" s="8">
        <f>graduation_data!A16</f>
        <v>34</v>
      </c>
      <c r="E28" s="20">
        <f>EXP(-graduation_data!E16)</f>
        <v>0.99183136195014088</v>
      </c>
      <c r="F28" s="21">
        <f t="shared" si="0"/>
        <v>80112.137589099191</v>
      </c>
      <c r="G28" s="20">
        <f>EXP(-graduation_data!F16)</f>
        <v>0.98007866140973188</v>
      </c>
      <c r="H28" s="21">
        <f t="shared" si="1"/>
        <v>80042.731753187109</v>
      </c>
      <c r="I28" s="20">
        <f>EXP(-graduation_data!G16)</f>
        <v>0.98038099943882473</v>
      </c>
      <c r="J28" s="21">
        <f t="shared" si="2"/>
        <v>80525.46308861248</v>
      </c>
      <c r="K28" s="14"/>
      <c r="L28" s="14"/>
      <c r="M28" s="14"/>
      <c r="N28" s="8">
        <f>Table1[[#This Row],[age]]</f>
        <v>34</v>
      </c>
      <c r="O28" s="21">
        <f>Table1[[#This Row],[lx_crude]]-F29</f>
        <v>654.40705536586756</v>
      </c>
      <c r="P28" s="21">
        <f>Table1[[#This Row],[lx_weighted]]-H29</f>
        <v>1594.5583609452442</v>
      </c>
      <c r="Q28" s="21">
        <f>Table1[[#This Row],[lx_splines]]-J29</f>
        <v>1579.8291055243899</v>
      </c>
    </row>
    <row r="29" spans="1:17" ht="14.25" customHeight="1" x14ac:dyDescent="0.3">
      <c r="A29" s="14"/>
      <c r="B29" s="14"/>
      <c r="C29" s="14"/>
      <c r="D29" s="8">
        <f>graduation_data!A17</f>
        <v>35</v>
      </c>
      <c r="E29" s="20">
        <f>EXP(-graduation_data!E17)</f>
        <v>0.9765364865553835</v>
      </c>
      <c r="F29" s="21">
        <f t="shared" si="0"/>
        <v>79457.730533733324</v>
      </c>
      <c r="G29" s="20">
        <f>EXP(-graduation_data!F17)</f>
        <v>0.97922644160854788</v>
      </c>
      <c r="H29" s="21">
        <f t="shared" si="1"/>
        <v>78448.173392241864</v>
      </c>
      <c r="I29" s="20">
        <f>EXP(-graduation_data!G17)</f>
        <v>0.97934132289136977</v>
      </c>
      <c r="J29" s="21">
        <f t="shared" si="2"/>
        <v>78945.63398308809</v>
      </c>
      <c r="K29" s="14"/>
      <c r="L29" s="14"/>
      <c r="M29" s="14"/>
      <c r="N29" s="8">
        <f>Table1[[#This Row],[age]]</f>
        <v>35</v>
      </c>
      <c r="O29" s="21">
        <f>Table1[[#This Row],[lx_crude]]-F30</f>
        <v>1864.3575286569685</v>
      </c>
      <c r="P29" s="21">
        <f>Table1[[#This Row],[lx_weighted]]-H30</f>
        <v>1629.647710666497</v>
      </c>
      <c r="Q29" s="21">
        <f>Table1[[#This Row],[lx_splines]]-J30</f>
        <v>1630.9123615927238</v>
      </c>
    </row>
    <row r="30" spans="1:17" ht="14.25" customHeight="1" x14ac:dyDescent="0.3">
      <c r="A30" s="14"/>
      <c r="B30" s="14"/>
      <c r="C30" s="14"/>
      <c r="D30" s="8">
        <f>graduation_data!A18</f>
        <v>36</v>
      </c>
      <c r="E30" s="20">
        <f>EXP(-graduation_data!E18)</f>
        <v>0.98198761232611631</v>
      </c>
      <c r="F30" s="21">
        <f t="shared" si="0"/>
        <v>77593.373005076355</v>
      </c>
      <c r="G30" s="20">
        <f>EXP(-graduation_data!F18)</f>
        <v>0.97829498082743693</v>
      </c>
      <c r="H30" s="21">
        <f t="shared" si="1"/>
        <v>76818.525681575367</v>
      </c>
      <c r="I30" s="20">
        <f>EXP(-graduation_data!G18)</f>
        <v>0.9781752137826587</v>
      </c>
      <c r="J30" s="21">
        <f t="shared" si="2"/>
        <v>77314.721621495366</v>
      </c>
      <c r="K30" s="14"/>
      <c r="L30" s="14"/>
      <c r="M30" s="14"/>
      <c r="N30" s="8">
        <f>Table1[[#This Row],[age]]</f>
        <v>36</v>
      </c>
      <c r="O30" s="21">
        <f>Table1[[#This Row],[lx_crude]]-F31</f>
        <v>1397.6419154916948</v>
      </c>
      <c r="P30" s="21">
        <f>Table1[[#This Row],[lx_weighted]]-H31</f>
        <v>1667.3475727266195</v>
      </c>
      <c r="Q30" s="21">
        <f>Table1[[#This Row],[lx_splines]]-J31</f>
        <v>1687.377270842393</v>
      </c>
    </row>
    <row r="31" spans="1:17" ht="14.25" customHeight="1" x14ac:dyDescent="0.3">
      <c r="A31" s="14"/>
      <c r="B31" s="14"/>
      <c r="C31" s="14"/>
      <c r="D31" s="8">
        <f>graduation_data!A19</f>
        <v>37</v>
      </c>
      <c r="E31" s="20">
        <f>EXP(-graduation_data!E19)</f>
        <v>0.96938684323112889</v>
      </c>
      <c r="F31" s="21">
        <f t="shared" si="0"/>
        <v>76195.73108958466</v>
      </c>
      <c r="G31" s="20">
        <f>EXP(-graduation_data!F19)</f>
        <v>0.97727699822931291</v>
      </c>
      <c r="H31" s="21">
        <f t="shared" si="1"/>
        <v>75151.178108848748</v>
      </c>
      <c r="I31" s="20">
        <f>EXP(-graduation_data!G19)</f>
        <v>0.97688702301779751</v>
      </c>
      <c r="J31" s="21">
        <f t="shared" si="2"/>
        <v>75627.344350652973</v>
      </c>
      <c r="K31" s="14"/>
      <c r="L31" s="14"/>
      <c r="M31" s="14"/>
      <c r="N31" s="8">
        <f>Table1[[#This Row],[age]]</f>
        <v>37</v>
      </c>
      <c r="O31" s="21">
        <f>Table1[[#This Row],[lx_crude]]-F32</f>
        <v>2332.5918609641958</v>
      </c>
      <c r="P31" s="21">
        <f>Table1[[#This Row],[lx_weighted]]-H32</f>
        <v>1707.6603532365843</v>
      </c>
      <c r="Q31" s="21">
        <f>Table1[[#This Row],[lx_splines]]-J32</f>
        <v>1747.9730692017474</v>
      </c>
    </row>
    <row r="32" spans="1:17" ht="14.25" customHeight="1" x14ac:dyDescent="0.3">
      <c r="A32" s="14"/>
      <c r="B32" s="14"/>
      <c r="C32" s="14"/>
      <c r="D32" s="8">
        <f>graduation_data!A20</f>
        <v>38</v>
      </c>
      <c r="E32" s="20">
        <f>EXP(-graduation_data!E20)</f>
        <v>0.98006119941717385</v>
      </c>
      <c r="F32" s="21">
        <f t="shared" si="0"/>
        <v>73863.139228620465</v>
      </c>
      <c r="G32" s="20">
        <f>EXP(-graduation_data!F20)</f>
        <v>0.97616456111930361</v>
      </c>
      <c r="H32" s="21">
        <f t="shared" si="1"/>
        <v>73443.517755612163</v>
      </c>
      <c r="I32" s="20">
        <f>EXP(-graduation_data!G20)</f>
        <v>0.97548260975275491</v>
      </c>
      <c r="J32" s="21">
        <f t="shared" si="2"/>
        <v>73879.371281451226</v>
      </c>
      <c r="K32" s="14"/>
      <c r="L32" s="14"/>
      <c r="M32" s="14"/>
      <c r="N32" s="8">
        <f>Table1[[#This Row],[age]]</f>
        <v>38</v>
      </c>
      <c r="O32" s="21">
        <f>Table1[[#This Row],[lx_crude]]-F33</f>
        <v>1472.7424035009899</v>
      </c>
      <c r="P32" s="21">
        <f>Table1[[#This Row],[lx_weighted]]-H33</f>
        <v>1750.5584786472318</v>
      </c>
      <c r="Q32" s="21">
        <f>Table1[[#This Row],[lx_splines]]-J33</f>
        <v>1811.3293769284501</v>
      </c>
    </row>
    <row r="33" spans="1:17" ht="14.25" customHeight="1" x14ac:dyDescent="0.3">
      <c r="A33" s="14"/>
      <c r="B33" s="14"/>
      <c r="C33" s="14"/>
      <c r="D33" s="8">
        <f>graduation_data!A21</f>
        <v>39</v>
      </c>
      <c r="E33" s="20">
        <f>EXP(-graduation_data!E21)</f>
        <v>0.97384770954627586</v>
      </c>
      <c r="F33" s="21">
        <f t="shared" si="0"/>
        <v>72390.396825119475</v>
      </c>
      <c r="G33" s="20">
        <f>EXP(-graduation_data!F21)</f>
        <v>0.97494902996469301</v>
      </c>
      <c r="H33" s="21">
        <f t="shared" si="1"/>
        <v>71692.959276964932</v>
      </c>
      <c r="I33" s="20">
        <f>EXP(-graduation_data!G21)</f>
        <v>0.97396187021832881</v>
      </c>
      <c r="J33" s="21">
        <f t="shared" si="2"/>
        <v>72068.041904522775</v>
      </c>
      <c r="K33" s="14"/>
      <c r="L33" s="14"/>
      <c r="M33" s="14"/>
      <c r="N33" s="8">
        <f>Table1[[#This Row],[age]]</f>
        <v>39</v>
      </c>
      <c r="O33" s="21">
        <f>Table1[[#This Row],[lx_crude]]-F34</f>
        <v>1893.1746838308754</v>
      </c>
      <c r="P33" s="21">
        <f>Table1[[#This Row],[lx_weighted]]-H34</f>
        <v>1795.9781745897344</v>
      </c>
      <c r="Q33" s="21">
        <f>Table1[[#This Row],[lx_splines]]-J34</f>
        <v>1876.5170282208855</v>
      </c>
    </row>
    <row r="34" spans="1:17" ht="14.25" customHeight="1" x14ac:dyDescent="0.3">
      <c r="A34" s="14"/>
      <c r="B34" s="14"/>
      <c r="C34" s="14"/>
      <c r="D34" s="8">
        <f>graduation_data!A22</f>
        <v>40</v>
      </c>
      <c r="E34" s="20">
        <f>EXP(-graduation_data!E22)</f>
        <v>0.96169960552850675</v>
      </c>
      <c r="F34" s="21">
        <f t="shared" si="0"/>
        <v>70497.222141288599</v>
      </c>
      <c r="G34" s="20">
        <f>EXP(-graduation_data!F22)</f>
        <v>0.9736209994556726</v>
      </c>
      <c r="H34" s="21">
        <f t="shared" si="1"/>
        <v>69896.981102375197</v>
      </c>
      <c r="I34" s="20">
        <f>EXP(-graduation_data!G22)</f>
        <v>0.97232742052915566</v>
      </c>
      <c r="J34" s="21">
        <f t="shared" si="2"/>
        <v>70191.52487630189</v>
      </c>
      <c r="K34" s="14"/>
      <c r="L34" s="14"/>
      <c r="M34" s="14"/>
      <c r="N34" s="8">
        <f>Table1[[#This Row],[age]]</f>
        <v>40</v>
      </c>
      <c r="O34" s="21">
        <f>Table1[[#This Row],[lx_crude]]-F35</f>
        <v>2700.0714171558357</v>
      </c>
      <c r="P34" s="21">
        <f>Table1[[#This Row],[lx_weighted]]-H35</f>
        <v>1843.812502546396</v>
      </c>
      <c r="Q34" s="21">
        <f>Table1[[#This Row],[lx_splines]]-J35</f>
        <v>1942.3805503192125</v>
      </c>
    </row>
    <row r="35" spans="1:17" ht="14.25" customHeight="1" x14ac:dyDescent="0.3">
      <c r="A35" s="14"/>
      <c r="B35" s="14"/>
      <c r="C35" s="14"/>
      <c r="D35" s="8">
        <f>graduation_data!A23</f>
        <v>41</v>
      </c>
      <c r="E35" s="20">
        <f>EXP(-graduation_data!E23)</f>
        <v>0.96821647320708326</v>
      </c>
      <c r="F35" s="21">
        <f t="shared" si="0"/>
        <v>67797.150724132764</v>
      </c>
      <c r="G35" s="20">
        <f>EXP(-graduation_data!F23)</f>
        <v>0.97217023546389147</v>
      </c>
      <c r="H35" s="21">
        <f t="shared" si="1"/>
        <v>68053.168599828801</v>
      </c>
      <c r="I35" s="20">
        <f>EXP(-graduation_data!G23)</f>
        <v>0.9705804668146677</v>
      </c>
      <c r="J35" s="21">
        <f t="shared" si="2"/>
        <v>68249.144325982677</v>
      </c>
      <c r="K35" s="14"/>
      <c r="L35" s="14"/>
      <c r="M35" s="14"/>
      <c r="N35" s="8">
        <f>Table1[[#This Row],[age]]</f>
        <v>41</v>
      </c>
      <c r="O35" s="21">
        <f>Table1[[#This Row],[lx_crude]]-F36</f>
        <v>2154.832556523892</v>
      </c>
      <c r="P35" s="21">
        <f>Table1[[#This Row],[lx_weighted]]-H36</f>
        <v>1893.9036580693355</v>
      </c>
      <c r="Q35" s="21">
        <f>Table1[[#This Row],[lx_splines]]-J36</f>
        <v>2007.8579663687851</v>
      </c>
    </row>
    <row r="36" spans="1:17" ht="14.25" customHeight="1" x14ac:dyDescent="0.3">
      <c r="A36" s="14"/>
      <c r="B36" s="14"/>
      <c r="C36" s="14"/>
      <c r="D36" s="8">
        <f>graduation_data!A24</f>
        <v>42</v>
      </c>
      <c r="E36" s="20">
        <f>EXP(-graduation_data!E24)</f>
        <v>0.97557625009654547</v>
      </c>
      <c r="F36" s="21">
        <f t="shared" si="0"/>
        <v>65642.318167608872</v>
      </c>
      <c r="G36" s="20">
        <f>EXP(-graduation_data!F24)</f>
        <v>0.97058560778481373</v>
      </c>
      <c r="H36" s="21">
        <f t="shared" si="1"/>
        <v>66159.264941759466</v>
      </c>
      <c r="I36" s="20">
        <f>EXP(-graduation_data!G24)</f>
        <v>0.96871165533067349</v>
      </c>
      <c r="J36" s="21">
        <f t="shared" si="2"/>
        <v>66241.286359613892</v>
      </c>
      <c r="K36" s="14"/>
      <c r="L36" s="14"/>
      <c r="M36" s="14"/>
      <c r="N36" s="8">
        <f>Table1[[#This Row],[age]]</f>
        <v>42</v>
      </c>
      <c r="O36" s="21">
        <f>Table1[[#This Row],[lx_crude]]-F37</f>
        <v>1603.2315620086665</v>
      </c>
      <c r="P36" s="21">
        <f>Table1[[#This Row],[lx_weighted]]-H37</f>
        <v>1946.0345676653378</v>
      </c>
      <c r="Q36" s="21">
        <f>Table1[[#This Row],[lx_splines]]-J37</f>
        <v>2072.5801989591564</v>
      </c>
    </row>
    <row r="37" spans="1:17" ht="14.25" customHeight="1" x14ac:dyDescent="0.3">
      <c r="A37" s="14"/>
      <c r="B37" s="14"/>
      <c r="C37" s="14"/>
      <c r="D37" s="8">
        <f>graduation_data!A25</f>
        <v>43</v>
      </c>
      <c r="E37" s="20">
        <f>EXP(-graduation_data!E25)</f>
        <v>0.97114263884760577</v>
      </c>
      <c r="F37" s="21">
        <f t="shared" si="0"/>
        <v>64039.086605600205</v>
      </c>
      <c r="G37" s="20">
        <f>EXP(-graduation_data!F25)</f>
        <v>0.96885501858920775</v>
      </c>
      <c r="H37" s="21">
        <f t="shared" si="1"/>
        <v>64213.230374094128</v>
      </c>
      <c r="I37" s="20">
        <f>EXP(-graduation_data!G25)</f>
        <v>0.96670859185201885</v>
      </c>
      <c r="J37" s="21">
        <f t="shared" si="2"/>
        <v>64168.706160654736</v>
      </c>
      <c r="K37" s="14"/>
      <c r="L37" s="14"/>
      <c r="M37" s="14"/>
      <c r="N37" s="8">
        <f>Table1[[#This Row],[age]]</f>
        <v>43</v>
      </c>
      <c r="O37" s="21">
        <f>Table1[[#This Row],[lx_crude]]-F38</f>
        <v>1847.9990500472559</v>
      </c>
      <c r="P37" s="21">
        <f>Table1[[#This Row],[lx_weighted]]-H38</f>
        <v>1999.919866328084</v>
      </c>
      <c r="Q37" s="21">
        <f>Table1[[#This Row],[lx_splines]]-J38</f>
        <v>2136.2665871222271</v>
      </c>
    </row>
    <row r="38" spans="1:17" ht="14.25" customHeight="1" x14ac:dyDescent="0.3">
      <c r="A38" s="14"/>
      <c r="B38" s="14"/>
      <c r="C38" s="14"/>
      <c r="D38" s="8">
        <f>graduation_data!A26</f>
        <v>44</v>
      </c>
      <c r="E38" s="20">
        <f>EXP(-graduation_data!E26)</f>
        <v>0.96633195735444366</v>
      </c>
      <c r="F38" s="21">
        <f t="shared" si="0"/>
        <v>62191.087555552949</v>
      </c>
      <c r="G38" s="20">
        <f>EXP(-graduation_data!F26)</f>
        <v>0.96696532656091572</v>
      </c>
      <c r="H38" s="21">
        <f t="shared" si="1"/>
        <v>62213.310507766044</v>
      </c>
      <c r="I38" s="20">
        <f>EXP(-graduation_data!G26)</f>
        <v>0.96456520356945119</v>
      </c>
      <c r="J38" s="21">
        <f t="shared" si="2"/>
        <v>62032.439573532509</v>
      </c>
      <c r="K38" s="14"/>
      <c r="L38" s="14"/>
      <c r="M38" s="14"/>
      <c r="N38" s="8">
        <f>Table1[[#This Row],[age]]</f>
        <v>44</v>
      </c>
      <c r="O38" s="21">
        <f>Table1[[#This Row],[lx_crude]]-F39</f>
        <v>2093.8521879938853</v>
      </c>
      <c r="P38" s="21">
        <f>Table1[[#This Row],[lx_weighted]]-H39</f>
        <v>2055.196396188403</v>
      </c>
      <c r="Q38" s="21">
        <f>Table1[[#This Row],[lx_splines]]-J39</f>
        <v>2198.106868378447</v>
      </c>
    </row>
    <row r="39" spans="1:17" ht="14.25" customHeight="1" x14ac:dyDescent="0.3">
      <c r="A39" s="14"/>
      <c r="B39" s="14"/>
      <c r="C39" s="14"/>
      <c r="D39" s="8">
        <f>graduation_data!A27</f>
        <v>45</v>
      </c>
      <c r="E39" s="20">
        <f>EXP(-graduation_data!E27)</f>
        <v>0.9405545329876579</v>
      </c>
      <c r="F39" s="21">
        <f t="shared" si="0"/>
        <v>60097.235367559064</v>
      </c>
      <c r="G39" s="20">
        <f>EXP(-graduation_data!F27)</f>
        <v>0.96490226676500035</v>
      </c>
      <c r="H39" s="21">
        <f t="shared" si="1"/>
        <v>60158.114111577641</v>
      </c>
      <c r="I39" s="20">
        <f>EXP(-graduation_data!G27)</f>
        <v>0.96228087671660056</v>
      </c>
      <c r="J39" s="21">
        <f t="shared" si="2"/>
        <v>59834.332705154062</v>
      </c>
      <c r="K39" s="14"/>
      <c r="L39" s="14"/>
      <c r="M39" s="14"/>
      <c r="N39" s="8">
        <f>Table1[[#This Row],[age]]</f>
        <v>45</v>
      </c>
      <c r="O39" s="21">
        <f>Table1[[#This Row],[lx_crude]]-F40</f>
        <v>3572.5082225751903</v>
      </c>
      <c r="P39" s="21">
        <f>Table1[[#This Row],[lx_weighted]]-H40</f>
        <v>2111.4134410088227</v>
      </c>
      <c r="Q39" s="21">
        <f>Table1[[#This Row],[lx_splines]]-J40</f>
        <v>2256.898571885642</v>
      </c>
    </row>
    <row r="40" spans="1:17" ht="14.25" customHeight="1" x14ac:dyDescent="0.3">
      <c r="A40" s="14"/>
      <c r="B40" s="14"/>
      <c r="C40" s="14"/>
      <c r="D40" s="8">
        <f>graduation_data!A28</f>
        <v>46</v>
      </c>
      <c r="E40" s="20">
        <f>EXP(-graduation_data!E28)</f>
        <v>0.98120498595572625</v>
      </c>
      <c r="F40" s="21">
        <f t="shared" si="0"/>
        <v>56524.727144983874</v>
      </c>
      <c r="G40" s="20">
        <f>EXP(-graduation_data!F28)</f>
        <v>0.96265036637545975</v>
      </c>
      <c r="H40" s="21">
        <f t="shared" si="1"/>
        <v>58046.700670568818</v>
      </c>
      <c r="I40" s="20">
        <f>EXP(-graduation_data!G28)</f>
        <v>0.95985332154246084</v>
      </c>
      <c r="J40" s="21">
        <f t="shared" si="2"/>
        <v>57577.43413326842</v>
      </c>
      <c r="K40" s="14"/>
      <c r="L40" s="14"/>
      <c r="M40" s="14"/>
      <c r="N40" s="8">
        <f>Table1[[#This Row],[age]]</f>
        <v>46</v>
      </c>
      <c r="O40" s="21">
        <f>Table1[[#This Row],[lx_crude]]-F41</f>
        <v>1062.3830405387125</v>
      </c>
      <c r="P40" s="21">
        <f>Table1[[#This Row],[lx_weighted]]-H41</f>
        <v>2168.0230031590982</v>
      </c>
      <c r="Q40" s="21">
        <f>Table1[[#This Row],[lx_splines]]-J41</f>
        <v>2311.5427345584685</v>
      </c>
    </row>
    <row r="41" spans="1:17" ht="14.25" customHeight="1" x14ac:dyDescent="0.3">
      <c r="A41" s="14"/>
      <c r="B41" s="14"/>
      <c r="C41" s="14"/>
      <c r="D41" s="8">
        <f>graduation_data!A29</f>
        <v>47</v>
      </c>
      <c r="E41" s="20">
        <f>EXP(-graduation_data!E29)</f>
        <v>0.95701183250383648</v>
      </c>
      <c r="F41" s="21">
        <f t="shared" si="0"/>
        <v>55462.344104445161</v>
      </c>
      <c r="G41" s="20">
        <f>EXP(-graduation_data!F29)</f>
        <v>0.96019285649849628</v>
      </c>
      <c r="H41" s="21">
        <f t="shared" si="1"/>
        <v>55878.67766740972</v>
      </c>
      <c r="I41" s="20">
        <f>EXP(-graduation_data!G29)</f>
        <v>0.95726836837936502</v>
      </c>
      <c r="J41" s="21">
        <f t="shared" si="2"/>
        <v>55265.891398709951</v>
      </c>
      <c r="K41" s="14"/>
      <c r="L41" s="14"/>
      <c r="M41" s="14"/>
      <c r="N41" s="8">
        <f>Table1[[#This Row],[age]]</f>
        <v>47</v>
      </c>
      <c r="O41" s="21">
        <f>Table1[[#This Row],[lx_crude]]-F42</f>
        <v>2384.2245380917448</v>
      </c>
      <c r="P41" s="21">
        <f>Table1[[#This Row],[lx_weighted]]-H42</f>
        <v>2224.3705405808505</v>
      </c>
      <c r="Q41" s="21">
        <f>Table1[[#This Row],[lx_splines]]-J42</f>
        <v>2361.6017124356949</v>
      </c>
    </row>
    <row r="42" spans="1:17" ht="14.25" customHeight="1" x14ac:dyDescent="0.3">
      <c r="A42" s="14"/>
      <c r="B42" s="14"/>
      <c r="C42" s="14"/>
      <c r="D42" s="8">
        <f>graduation_data!A30</f>
        <v>48</v>
      </c>
      <c r="E42" s="20">
        <f>EXP(-graduation_data!E30)</f>
        <v>0.94680548504763595</v>
      </c>
      <c r="F42" s="21">
        <f t="shared" si="0"/>
        <v>53078.119566353416</v>
      </c>
      <c r="G42" s="20">
        <f>EXP(-graduation_data!F30)</f>
        <v>0.95751158045986839</v>
      </c>
      <c r="H42" s="21">
        <f t="shared" si="1"/>
        <v>53654.30712682887</v>
      </c>
      <c r="I42" s="20">
        <f>EXP(-graduation_data!G30)</f>
        <v>0.95452263511792357</v>
      </c>
      <c r="J42" s="21">
        <f t="shared" si="2"/>
        <v>52904.289686274256</v>
      </c>
      <c r="K42" s="14"/>
      <c r="L42" s="14"/>
      <c r="M42" s="14"/>
      <c r="N42" s="8">
        <f>Table1[[#This Row],[age]]</f>
        <v>48</v>
      </c>
      <c r="O42" s="21">
        <f>Table1[[#This Row],[lx_crude]]-F43</f>
        <v>2823.4648249157544</v>
      </c>
      <c r="P42" s="21">
        <f>Table1[[#This Row],[lx_weighted]]-H43</f>
        <v>2279.6867113397748</v>
      </c>
      <c r="Q42" s="21">
        <f>Table1[[#This Row],[lx_splines]]-J43</f>
        <v>2405.9476858897688</v>
      </c>
    </row>
    <row r="43" spans="1:17" ht="14.25" customHeight="1" x14ac:dyDescent="0.3">
      <c r="A43" s="14"/>
      <c r="B43" s="14"/>
      <c r="C43" s="14"/>
      <c r="D43" s="8">
        <f>graduation_data!A31</f>
        <v>49</v>
      </c>
      <c r="E43" s="20">
        <f>EXP(-graduation_data!E31)</f>
        <v>0.9652112119159284</v>
      </c>
      <c r="F43" s="21">
        <f t="shared" si="0"/>
        <v>50254.654741437662</v>
      </c>
      <c r="G43" s="20">
        <f>EXP(-graduation_data!F31)</f>
        <v>0.95458689908782624</v>
      </c>
      <c r="H43" s="21">
        <f t="shared" si="1"/>
        <v>51374.620415489095</v>
      </c>
      <c r="I43" s="20">
        <f>EXP(-graduation_data!G31)</f>
        <v>0.95161511753767969</v>
      </c>
      <c r="J43" s="21">
        <f t="shared" si="2"/>
        <v>50498.342000384488</v>
      </c>
      <c r="K43" s="14"/>
      <c r="L43" s="14"/>
      <c r="M43" s="14"/>
      <c r="N43" s="8">
        <f>Table1[[#This Row],[age]]</f>
        <v>49</v>
      </c>
      <c r="O43" s="21">
        <f>Table1[[#This Row],[lx_crude]]-F44</f>
        <v>1748.2985340380619</v>
      </c>
      <c r="P43" s="21">
        <f>Table1[[#This Row],[lx_weighted]]-H44</f>
        <v>2333.0808212532284</v>
      </c>
      <c r="Q43" s="21">
        <f>Table1[[#This Row],[lx_splines]]-J44</f>
        <v>2443.3563422306543</v>
      </c>
    </row>
    <row r="44" spans="1:17" ht="14.25" customHeight="1" x14ac:dyDescent="0.3">
      <c r="A44" s="14"/>
      <c r="B44" s="14"/>
      <c r="C44" s="14"/>
      <c r="D44" s="8">
        <f>graduation_data!A32</f>
        <v>50</v>
      </c>
      <c r="E44" s="20">
        <f>EXP(-graduation_data!E32)</f>
        <v>0.97243315209450054</v>
      </c>
      <c r="F44" s="21">
        <f t="shared" si="0"/>
        <v>48506.3562073996</v>
      </c>
      <c r="G44" s="20">
        <f>EXP(-graduation_data!F32)</f>
        <v>0.95139759372181998</v>
      </c>
      <c r="H44" s="21">
        <f t="shared" si="1"/>
        <v>49041.539594235866</v>
      </c>
      <c r="I44" s="20">
        <f>EXP(-graduation_data!G32)</f>
        <v>0.94854205709819295</v>
      </c>
      <c r="J44" s="21">
        <f t="shared" si="2"/>
        <v>48054.985658153833</v>
      </c>
      <c r="K44" s="14"/>
      <c r="L44" s="14"/>
      <c r="M44" s="14"/>
      <c r="N44" s="8">
        <f>Table1[[#This Row],[age]]</f>
        <v>50</v>
      </c>
      <c r="O44" s="21">
        <f>Table1[[#This Row],[lx_crude]]-F45</f>
        <v>1337.1673440193626</v>
      </c>
      <c r="P44" s="21">
        <f>Table1[[#This Row],[lx_weighted]]-H45</f>
        <v>2383.536831866506</v>
      </c>
      <c r="Q44" s="21">
        <f>Table1[[#This Row],[lx_splines]]-J45</f>
        <v>2472.8107081444396</v>
      </c>
    </row>
    <row r="45" spans="1:17" ht="14.25" customHeight="1" x14ac:dyDescent="0.3">
      <c r="A45" s="14"/>
      <c r="B45" s="14"/>
      <c r="C45" s="14"/>
      <c r="D45" s="8">
        <f>graduation_data!A33</f>
        <v>51</v>
      </c>
      <c r="E45" s="20">
        <f>EXP(-graduation_data!E33)</f>
        <v>0.92907760213590218</v>
      </c>
      <c r="F45" s="21">
        <f t="shared" si="0"/>
        <v>47169.188863380237</v>
      </c>
      <c r="G45" s="20">
        <f>EXP(-graduation_data!F33)</f>
        <v>0.94792076791754709</v>
      </c>
      <c r="H45" s="21">
        <f t="shared" si="1"/>
        <v>46658.00276236936</v>
      </c>
      <c r="I45" s="20">
        <f>EXP(-graduation_data!G33)</f>
        <v>0.94530993007293951</v>
      </c>
      <c r="J45" s="21">
        <f t="shared" si="2"/>
        <v>45582.174950009394</v>
      </c>
      <c r="K45" s="14"/>
      <c r="L45" s="14"/>
      <c r="M45" s="14"/>
      <c r="N45" s="8">
        <f>Table1[[#This Row],[age]]</f>
        <v>51</v>
      </c>
      <c r="O45" s="21">
        <f>Table1[[#This Row],[lx_crude]]-F46</f>
        <v>3345.3519794954263</v>
      </c>
      <c r="P45" s="21">
        <f>Table1[[#This Row],[lx_weighted]]-H46</f>
        <v>2429.9129543651652</v>
      </c>
      <c r="Q45" s="21">
        <f>Table1[[#This Row],[lx_splines]]-J46</f>
        <v>2492.8923354435174</v>
      </c>
    </row>
    <row r="46" spans="1:17" ht="14.25" customHeight="1" x14ac:dyDescent="0.3">
      <c r="A46" s="14"/>
      <c r="B46" s="14"/>
      <c r="C46" s="14"/>
      <c r="D46" s="8">
        <f>graduation_data!A34</f>
        <v>52</v>
      </c>
      <c r="E46" s="20">
        <f>EXP(-graduation_data!E34)</f>
        <v>0.97451868849692225</v>
      </c>
      <c r="F46" s="21">
        <f t="shared" si="0"/>
        <v>43823.836883884811</v>
      </c>
      <c r="G46" s="20">
        <f>EXP(-graduation_data!F34)</f>
        <v>0.94413174910761322</v>
      </c>
      <c r="H46" s="21">
        <f t="shared" si="1"/>
        <v>44228.089808004195</v>
      </c>
      <c r="I46" s="20">
        <f>EXP(-graduation_data!G34)</f>
        <v>0.94193825488406824</v>
      </c>
      <c r="J46" s="21">
        <f t="shared" si="2"/>
        <v>43089.282614565876</v>
      </c>
      <c r="K46" s="14"/>
      <c r="L46" s="14"/>
      <c r="M46" s="14"/>
      <c r="N46" s="8">
        <f>Table1[[#This Row],[age]]</f>
        <v>52</v>
      </c>
      <c r="O46" s="21">
        <f>Table1[[#This Row],[lx_crude]]-F47</f>
        <v>1116.6888388983352</v>
      </c>
      <c r="P46" s="21">
        <f>Table1[[#This Row],[lx_weighted]]-H47</f>
        <v>2470.9460178845911</v>
      </c>
      <c r="Q46" s="21">
        <f>Table1[[#This Row],[lx_splines]]-J47</f>
        <v>2501.8389443952765</v>
      </c>
    </row>
    <row r="47" spans="1:17" ht="14.25" customHeight="1" x14ac:dyDescent="0.3">
      <c r="A47" s="14"/>
      <c r="B47" s="14"/>
      <c r="C47" s="14"/>
      <c r="D47" s="8">
        <f>graduation_data!A35</f>
        <v>53</v>
      </c>
      <c r="E47" s="20">
        <f>EXP(-graduation_data!E35)</f>
        <v>0.91672817563291253</v>
      </c>
      <c r="F47" s="21">
        <f t="shared" si="0"/>
        <v>42707.148044986476</v>
      </c>
      <c r="G47" s="20">
        <f>EXP(-graduation_data!F35)</f>
        <v>0.94000399182141747</v>
      </c>
      <c r="H47" s="21">
        <f t="shared" si="1"/>
        <v>41757.143790119604</v>
      </c>
      <c r="I47" s="20">
        <f>EXP(-graduation_data!G35)</f>
        <v>0.93844498159820466</v>
      </c>
      <c r="J47" s="21">
        <f t="shared" si="2"/>
        <v>40587.4436701706</v>
      </c>
      <c r="K47" s="14"/>
      <c r="L47" s="14"/>
      <c r="M47" s="14"/>
      <c r="N47" s="8">
        <f>Table1[[#This Row],[age]]</f>
        <v>53</v>
      </c>
      <c r="O47" s="21">
        <f>Table1[[#This Row],[lx_crude]]-F48</f>
        <v>3556.3021312213168</v>
      </c>
      <c r="P47" s="21">
        <f>Table1[[#This Row],[lx_weighted]]-H48</f>
        <v>2505.2619403462595</v>
      </c>
      <c r="Q47" s="21">
        <f>Table1[[#This Row],[lx_splines]]-J48</f>
        <v>2498.3608419991797</v>
      </c>
    </row>
    <row r="48" spans="1:17" ht="14.25" customHeight="1" x14ac:dyDescent="0.3">
      <c r="A48" s="14"/>
      <c r="B48" s="14"/>
      <c r="C48" s="14"/>
      <c r="D48" s="8">
        <f>graduation_data!A36</f>
        <v>54</v>
      </c>
      <c r="E48" s="20">
        <f>EXP(-graduation_data!E36)</f>
        <v>0.90733793615834502</v>
      </c>
      <c r="F48" s="21">
        <f t="shared" si="0"/>
        <v>39150.845913765159</v>
      </c>
      <c r="G48" s="20">
        <f>EXP(-graduation_data!F36)</f>
        <v>0.93550898447574082</v>
      </c>
      <c r="H48" s="21">
        <f t="shared" si="1"/>
        <v>39251.881849773345</v>
      </c>
      <c r="I48" s="20">
        <f>EXP(-graduation_data!G36)</f>
        <v>0.93485925948286497</v>
      </c>
      <c r="J48" s="21">
        <f t="shared" si="2"/>
        <v>38089.08282817142</v>
      </c>
      <c r="K48" s="14"/>
      <c r="L48" s="14"/>
      <c r="M48" s="14"/>
      <c r="N48" s="8">
        <f>Table1[[#This Row],[age]]</f>
        <v>54</v>
      </c>
      <c r="O48" s="21">
        <f>Table1[[#This Row],[lx_crude]]-F49</f>
        <v>3627.7981835161045</v>
      </c>
      <c r="P48" s="21">
        <f>Table1[[#This Row],[lx_weighted]]-H49</f>
        <v>2531.3937217301209</v>
      </c>
      <c r="Q48" s="21">
        <f>Table1[[#This Row],[lx_splines]]-J49</f>
        <v>2481.1510610455807</v>
      </c>
    </row>
    <row r="49" spans="1:17" ht="14.25" customHeight="1" x14ac:dyDescent="0.3">
      <c r="A49" s="14"/>
      <c r="B49" s="14"/>
      <c r="C49" s="14"/>
      <c r="D49" s="8">
        <f>graduation_data!A37</f>
        <v>55</v>
      </c>
      <c r="E49" s="20">
        <f>EXP(-graduation_data!E37)</f>
        <v>0.94156610660541584</v>
      </c>
      <c r="F49" s="21">
        <f t="shared" si="0"/>
        <v>35523.047730249054</v>
      </c>
      <c r="G49" s="20">
        <f>EXP(-graduation_data!F37)</f>
        <v>0.93061616222726851</v>
      </c>
      <c r="H49" s="21">
        <f t="shared" si="1"/>
        <v>36720.488128043224</v>
      </c>
      <c r="I49" s="20">
        <f>EXP(-graduation_data!G37)</f>
        <v>0.93120012476508629</v>
      </c>
      <c r="J49" s="21">
        <f t="shared" si="2"/>
        <v>35607.93176712584</v>
      </c>
      <c r="K49" s="14"/>
      <c r="L49" s="14"/>
      <c r="M49" s="14"/>
      <c r="N49" s="8">
        <f>Table1[[#This Row],[age]]</f>
        <v>55</v>
      </c>
      <c r="O49" s="21">
        <f>Table1[[#This Row],[lx_crude]]-F50</f>
        <v>2075.7499841200988</v>
      </c>
      <c r="P49" s="21">
        <f>Table1[[#This Row],[lx_weighted]]-H50</f>
        <v>2547.8083912116635</v>
      </c>
      <c r="Q49" s="21">
        <f>Table1[[#This Row],[lx_splines]]-J50</f>
        <v>2449.8212629515765</v>
      </c>
    </row>
    <row r="50" spans="1:17" ht="14.25" customHeight="1" x14ac:dyDescent="0.3">
      <c r="A50" s="14"/>
      <c r="B50" s="14"/>
      <c r="C50" s="14"/>
      <c r="D50" s="8">
        <f>graduation_data!A38</f>
        <v>56</v>
      </c>
      <c r="E50" s="20">
        <f>EXP(-graduation_data!E38)</f>
        <v>0.9445546485042976</v>
      </c>
      <c r="F50" s="21">
        <f t="shared" si="0"/>
        <v>33447.297746128956</v>
      </c>
      <c r="G50" s="20">
        <f>EXP(-graduation_data!F38)</f>
        <v>0.92529282893853393</v>
      </c>
      <c r="H50" s="21">
        <f t="shared" si="1"/>
        <v>34172.67973683156</v>
      </c>
      <c r="I50" s="20">
        <f>EXP(-graduation_data!G38)</f>
        <v>0.92747210677070968</v>
      </c>
      <c r="J50" s="21">
        <f t="shared" si="2"/>
        <v>33158.110504174263</v>
      </c>
      <c r="K50" s="14"/>
      <c r="L50" s="14"/>
      <c r="M50" s="14"/>
      <c r="N50" s="8">
        <f>Table1[[#This Row],[age]]</f>
        <v>56</v>
      </c>
      <c r="O50" s="21">
        <f>Table1[[#This Row],[lx_crude]]-F51</f>
        <v>1854.4971801155334</v>
      </c>
      <c r="P50" s="21">
        <f>Table1[[#This Row],[lx_weighted]]-H51</f>
        <v>2552.9442307281715</v>
      </c>
      <c r="Q50" s="21">
        <f>Table1[[#This Row],[lx_splines]]-J51</f>
        <v>2404.8878983317591</v>
      </c>
    </row>
    <row r="51" spans="1:17" ht="14.25" customHeight="1" x14ac:dyDescent="0.3">
      <c r="A51" s="14"/>
      <c r="B51" s="14"/>
      <c r="C51" s="14"/>
      <c r="D51" s="8">
        <f>graduation_data!A39</f>
        <v>57</v>
      </c>
      <c r="E51" s="20">
        <f>EXP(-graduation_data!E39)</f>
        <v>0.94172316228562636</v>
      </c>
      <c r="F51" s="21">
        <f t="shared" si="0"/>
        <v>31592.800566013422</v>
      </c>
      <c r="G51" s="20">
        <f>EXP(-graduation_data!F39)</f>
        <v>0.91950409195806393</v>
      </c>
      <c r="H51" s="21">
        <f t="shared" si="1"/>
        <v>31619.735506103389</v>
      </c>
      <c r="I51" s="20">
        <f>EXP(-graduation_data!G39)</f>
        <v>0.92368274032943454</v>
      </c>
      <c r="J51" s="21">
        <f t="shared" si="2"/>
        <v>30753.222605842504</v>
      </c>
      <c r="K51" s="14"/>
      <c r="L51" s="14"/>
      <c r="M51" s="14"/>
      <c r="N51" s="8">
        <f>Table1[[#This Row],[age]]</f>
        <v>57</v>
      </c>
      <c r="O51" s="21">
        <f>Table1[[#This Row],[lx_crude]]-F52</f>
        <v>1841.1285115281353</v>
      </c>
      <c r="P51" s="21">
        <f>Table1[[#This Row],[lx_weighted]]-H52</f>
        <v>2545.2593216096393</v>
      </c>
      <c r="Q51" s="21">
        <f>Table1[[#This Row],[lx_splines]]-J52</f>
        <v>2347.0016753167874</v>
      </c>
    </row>
    <row r="52" spans="1:17" ht="14.25" customHeight="1" x14ac:dyDescent="0.3">
      <c r="A52" s="14"/>
      <c r="B52" s="14"/>
      <c r="C52" s="14"/>
      <c r="D52" s="8">
        <f>graduation_data!A40</f>
        <v>58</v>
      </c>
      <c r="E52" s="20">
        <f>EXP(-graduation_data!E40)</f>
        <v>0.90636104577287657</v>
      </c>
      <c r="F52" s="21">
        <f t="shared" si="0"/>
        <v>29751.672054485287</v>
      </c>
      <c r="G52" s="20">
        <f>EXP(-graduation_data!F40)</f>
        <v>0.9132128141618191</v>
      </c>
      <c r="H52" s="21">
        <f t="shared" si="1"/>
        <v>29074.476184493749</v>
      </c>
      <c r="I52" s="20">
        <f>EXP(-graduation_data!G40)</f>
        <v>0.91984928900204233</v>
      </c>
      <c r="J52" s="21">
        <f t="shared" si="2"/>
        <v>28406.220930525717</v>
      </c>
      <c r="K52" s="14"/>
      <c r="L52" s="14"/>
      <c r="M52" s="14"/>
      <c r="N52" s="8">
        <f>Table1[[#This Row],[age]]</f>
        <v>58</v>
      </c>
      <c r="O52" s="21">
        <f>Table1[[#This Row],[lx_crude]]-F53</f>
        <v>2785.9154576903347</v>
      </c>
      <c r="P52" s="21">
        <f>Table1[[#This Row],[lx_weighted]]-H53</f>
        <v>2523.2919677714235</v>
      </c>
      <c r="Q52" s="21">
        <f>Table1[[#This Row],[lx_splines]]-J53</f>
        <v>2276.7788043467044</v>
      </c>
    </row>
    <row r="53" spans="1:17" ht="14.25" customHeight="1" x14ac:dyDescent="0.3">
      <c r="A53" s="14"/>
      <c r="B53" s="14"/>
      <c r="C53" s="14"/>
      <c r="D53" s="8">
        <f>graduation_data!A41</f>
        <v>59</v>
      </c>
      <c r="E53" s="20">
        <f>EXP(-graduation_data!E41)</f>
        <v>0.9083733031783362</v>
      </c>
      <c r="F53" s="21">
        <f t="shared" si="0"/>
        <v>26965.756596794952</v>
      </c>
      <c r="G53" s="20">
        <f>EXP(-graduation_data!F41)</f>
        <v>0.90637958855307688</v>
      </c>
      <c r="H53" s="21">
        <f t="shared" si="1"/>
        <v>26551.184216722326</v>
      </c>
      <c r="I53" s="20">
        <f>EXP(-graduation_data!G41)</f>
        <v>0.91599620226242273</v>
      </c>
      <c r="J53" s="21">
        <f t="shared" si="2"/>
        <v>26129.442126179012</v>
      </c>
      <c r="K53" s="14"/>
      <c r="L53" s="14"/>
      <c r="M53" s="14"/>
      <c r="N53" s="8">
        <f>Table1[[#This Row],[age]]</f>
        <v>59</v>
      </c>
      <c r="O53" s="21">
        <f>Table1[[#This Row],[lx_crude]]-F54</f>
        <v>2470.7832042613118</v>
      </c>
      <c r="P53" s="21">
        <f>Table1[[#This Row],[lx_weighted]]-H54</f>
        <v>2485.7327907725958</v>
      </c>
      <c r="Q53" s="21">
        <f>Table1[[#This Row],[lx_splines]]-J54</f>
        <v>2194.9723713632739</v>
      </c>
    </row>
    <row r="54" spans="1:17" ht="14.25" customHeight="1" x14ac:dyDescent="0.3">
      <c r="A54" s="14"/>
      <c r="B54" s="14"/>
      <c r="C54" s="14"/>
      <c r="D54" s="8">
        <f>graduation_data!A42</f>
        <v>60</v>
      </c>
      <c r="E54" s="20">
        <f>EXP(-graduation_data!E42)</f>
        <v>0.88293663645041098</v>
      </c>
      <c r="F54" s="21">
        <f t="shared" si="0"/>
        <v>24494.97339253364</v>
      </c>
      <c r="G54" s="20">
        <f>EXP(-graduation_data!F42)</f>
        <v>0.89896274167628865</v>
      </c>
      <c r="H54" s="21">
        <f t="shared" si="1"/>
        <v>24065.45142594973</v>
      </c>
      <c r="I54" s="20">
        <f>EXP(-graduation_data!G42)</f>
        <v>0.91214354297510347</v>
      </c>
      <c r="J54" s="21">
        <f t="shared" si="2"/>
        <v>23934.469754815738</v>
      </c>
      <c r="K54" s="14"/>
      <c r="L54" s="14"/>
      <c r="M54" s="14"/>
      <c r="N54" s="8">
        <f>Table1[[#This Row],[age]]</f>
        <v>60</v>
      </c>
      <c r="O54" s="21">
        <f>Table1[[#This Row],[lx_crude]]-F55</f>
        <v>24494.97339253364</v>
      </c>
      <c r="P54" s="21">
        <f>Table1[[#This Row],[lx_weighted]]-H55</f>
        <v>24065.45142594973</v>
      </c>
      <c r="Q54" s="21">
        <f>Table1[[#This Row],[lx_splines]]-J55</f>
        <v>23934.469754815738</v>
      </c>
    </row>
  </sheetData>
  <mergeCells count="2">
    <mergeCell ref="D12:J12"/>
    <mergeCell ref="N12:Q12"/>
  </mergeCells>
  <pageMargins left="0.7" right="0.7" top="0.75" bottom="0.75" header="0.511811023622047" footer="0.511811023622047"/>
  <pageSetup paperSize="9" orientation="portrait" horizontalDpi="300" verticalDpi="300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9"/>
  <sheetViews>
    <sheetView zoomScaleNormal="100" workbookViewId="0">
      <selection activeCell="C7" sqref="C7:G7"/>
    </sheetView>
  </sheetViews>
  <sheetFormatPr defaultColWidth="8.6640625" defaultRowHeight="14.4" x14ac:dyDescent="0.3"/>
  <cols>
    <col min="3" max="3" width="7" customWidth="1"/>
    <col min="4" max="4" width="9" customWidth="1"/>
    <col min="5" max="5" width="10" customWidth="1"/>
    <col min="6" max="7" width="18" customWidth="1"/>
  </cols>
  <sheetData>
    <row r="1" spans="1:7" ht="14.25" customHeight="1" x14ac:dyDescent="0.3">
      <c r="A1" s="14"/>
      <c r="B1" s="14"/>
      <c r="C1" s="14"/>
      <c r="D1" s="14"/>
      <c r="E1" s="14"/>
      <c r="F1" s="14"/>
      <c r="G1" s="14"/>
    </row>
    <row r="2" spans="1:7" ht="14.25" customHeight="1" x14ac:dyDescent="0.3">
      <c r="A2" s="14"/>
      <c r="B2" s="14"/>
      <c r="C2" s="14"/>
      <c r="D2" s="14"/>
      <c r="E2" s="14"/>
      <c r="F2" s="14"/>
      <c r="G2" s="14"/>
    </row>
    <row r="3" spans="1:7" ht="14.25" customHeight="1" x14ac:dyDescent="0.3">
      <c r="A3" s="14"/>
      <c r="B3" s="14"/>
      <c r="C3" s="14"/>
      <c r="D3" s="14"/>
      <c r="E3" s="14"/>
      <c r="F3" s="14"/>
      <c r="G3" s="14"/>
    </row>
    <row r="4" spans="1:7" ht="14.25" customHeight="1" x14ac:dyDescent="0.3">
      <c r="A4" s="14"/>
      <c r="B4" s="14"/>
      <c r="C4" s="14"/>
      <c r="D4" s="14"/>
      <c r="E4" s="14"/>
      <c r="F4" s="14"/>
      <c r="G4" s="14"/>
    </row>
    <row r="5" spans="1:7" ht="14.25" customHeight="1" x14ac:dyDescent="0.3">
      <c r="A5" s="14"/>
      <c r="B5" s="14"/>
      <c r="C5" s="14"/>
      <c r="D5" s="14"/>
      <c r="E5" s="14"/>
      <c r="F5" s="14"/>
      <c r="G5" s="14"/>
    </row>
    <row r="6" spans="1:7" ht="14.25" customHeight="1" x14ac:dyDescent="0.3">
      <c r="A6" s="14"/>
      <c r="B6" s="14"/>
      <c r="C6" s="14"/>
      <c r="D6" s="14"/>
      <c r="E6" s="14"/>
      <c r="F6" s="14"/>
      <c r="G6" s="14"/>
    </row>
    <row r="7" spans="1:7" ht="15.75" customHeight="1" x14ac:dyDescent="0.3">
      <c r="A7" s="14"/>
      <c r="B7" s="14"/>
      <c r="C7" s="6" t="s">
        <v>29</v>
      </c>
      <c r="D7" s="6"/>
      <c r="E7" s="6"/>
      <c r="F7" s="6"/>
      <c r="G7" s="6"/>
    </row>
    <row r="8" spans="1:7" ht="23.25" customHeight="1" x14ac:dyDescent="0.3">
      <c r="A8" s="14"/>
      <c r="B8" s="14"/>
      <c r="C8" s="7" t="s">
        <v>0</v>
      </c>
      <c r="D8" s="7" t="s">
        <v>30</v>
      </c>
      <c r="E8" s="7" t="s">
        <v>31</v>
      </c>
      <c r="F8" s="7" t="s">
        <v>32</v>
      </c>
      <c r="G8" s="7" t="s">
        <v>33</v>
      </c>
    </row>
    <row r="9" spans="1:7" ht="14.25" customHeight="1" x14ac:dyDescent="0.3">
      <c r="A9" s="14"/>
      <c r="B9" s="14"/>
      <c r="C9" s="8">
        <f>graduation_data!A2</f>
        <v>20</v>
      </c>
      <c r="D9" s="8">
        <v>10</v>
      </c>
      <c r="E9" s="18">
        <f t="array" aca="1" ref="E9" ca="1">SUMPRODUCT(OFFSET(Mortality!$O14,0,0,'Assurance Factors'!D9,1),Mortality!$C$6^ROW(INDIRECT("1:"&amp;$D$9)))/Mortality!F14</f>
        <v>0.10790892369934654</v>
      </c>
      <c r="F9" s="18">
        <f t="array" aca="1" ref="F9" ca="1">SUMPRODUCT(OFFSET(Mortality!$P14,0,0,Mortality!$C$7,1),Mortality!$C$6^ROW(INDIRECT("1:"&amp;$D$9)))/Mortality!H14</f>
        <v>0.10677838435930957</v>
      </c>
      <c r="G9" s="18">
        <f t="array" aca="1" ref="G9" ca="1">SUMPRODUCT(OFFSET(Mortality!$Q14,0,0,Mortality!$C$7,1),Mortality!$C$6^ROW(INDIRECT("1:"&amp;$D$9)))/Mortality!J14</f>
        <v>0.10432585133941344</v>
      </c>
    </row>
    <row r="10" spans="1:7" ht="14.25" customHeight="1" x14ac:dyDescent="0.3">
      <c r="A10" s="14"/>
      <c r="B10" s="14"/>
      <c r="C10" s="8">
        <f>graduation_data!A3</f>
        <v>21</v>
      </c>
      <c r="D10" s="8">
        <v>10</v>
      </c>
      <c r="E10" s="18">
        <f t="array" aca="1" ref="E10" ca="1">SUMPRODUCT(OFFSET(Mortality!$O15,0,0,'Assurance Factors'!D10,1),Mortality!$C$6^ROW(INDIRECT("1:"&amp;$D$9)))/Mortality!F15</f>
        <v>0.11226283995436463</v>
      </c>
      <c r="F10" s="18">
        <f t="array" aca="1" ref="F10" ca="1">SUMPRODUCT(OFFSET(Mortality!$P15,0,0,Mortality!$C$7,1),Mortality!$C$6^ROW(INDIRECT("1:"&amp;$D$9)))/Mortality!H15</f>
        <v>0.10925760459549318</v>
      </c>
      <c r="G10" s="18">
        <f t="array" aca="1" ref="G10" ca="1">SUMPRODUCT(OFFSET(Mortality!$Q15,0,0,Mortality!$C$7,1),Mortality!$C$6^ROW(INDIRECT("1:"&amp;$D$9)))/Mortality!J15</f>
        <v>0.10632728977200628</v>
      </c>
    </row>
    <row r="11" spans="1:7" ht="14.25" customHeight="1" x14ac:dyDescent="0.3">
      <c r="A11" s="14"/>
      <c r="B11" s="14"/>
      <c r="C11" s="8">
        <f>graduation_data!A4</f>
        <v>22</v>
      </c>
      <c r="D11" s="8">
        <v>10</v>
      </c>
      <c r="E11" s="18">
        <f t="array" aca="1" ref="E11" ca="1">SUMPRODUCT(OFFSET(Mortality!$O16,0,0,'Assurance Factors'!D11,1),Mortality!$C$6^ROW(INDIRECT("1:"&amp;$D$9)))/Mortality!F16</f>
        <v>0.1075178597679437</v>
      </c>
      <c r="F11" s="18">
        <f t="array" aca="1" ref="F11" ca="1">SUMPRODUCT(OFFSET(Mortality!$P16,0,0,Mortality!$C$7,1),Mortality!$C$6^ROW(INDIRECT("1:"&amp;$D$9)))/Mortality!H16</f>
        <v>0.11195987897211988</v>
      </c>
      <c r="G11" s="18">
        <f t="array" aca="1" ref="G11" ca="1">SUMPRODUCT(OFFSET(Mortality!$Q16,0,0,Mortality!$C$7,1),Mortality!$C$6^ROW(INDIRECT("1:"&amp;$D$9)))/Mortality!J16</f>
        <v>0.10866187305424278</v>
      </c>
    </row>
    <row r="12" spans="1:7" ht="14.25" customHeight="1" x14ac:dyDescent="0.3">
      <c r="A12" s="14"/>
      <c r="B12" s="14"/>
      <c r="C12" s="8">
        <f>graduation_data!A5</f>
        <v>23</v>
      </c>
      <c r="D12" s="8">
        <v>10</v>
      </c>
      <c r="E12" s="18">
        <f t="array" aca="1" ref="E12" ca="1">SUMPRODUCT(OFFSET(Mortality!$O17,0,0,'Assurance Factors'!D12,1),Mortality!$C$6^ROW(INDIRECT("1:"&amp;$D$9)))/Mortality!F17</f>
        <v>0.10690735659667633</v>
      </c>
      <c r="F12" s="18">
        <f t="array" aca="1" ref="F12" ca="1">SUMPRODUCT(OFFSET(Mortality!$P17,0,0,Mortality!$C$7,1),Mortality!$C$6^ROW(INDIRECT("1:"&amp;$D$9)))/Mortality!H17</f>
        <v>0.11490426196540134</v>
      </c>
      <c r="G12" s="18">
        <f t="array" aca="1" ref="G12" ca="1">SUMPRODUCT(OFFSET(Mortality!$Q17,0,0,Mortality!$C$7,1),Mortality!$C$6^ROW(INDIRECT("1:"&amp;$D$9)))/Mortality!J17</f>
        <v>0.11137772412408072</v>
      </c>
    </row>
    <row r="13" spans="1:7" ht="14.25" customHeight="1" x14ac:dyDescent="0.3">
      <c r="A13" s="14"/>
      <c r="B13" s="14"/>
      <c r="C13" s="8">
        <f>graduation_data!A6</f>
        <v>24</v>
      </c>
      <c r="D13" s="8">
        <v>10</v>
      </c>
      <c r="E13" s="18">
        <f t="array" aca="1" ref="E13" ca="1">SUMPRODUCT(OFFSET(Mortality!$O18,0,0,'Assurance Factors'!D13,1),Mortality!$C$6^ROW(INDIRECT("1:"&amp;$D$9)))/Mortality!F18</f>
        <v>0.11521439893528088</v>
      </c>
      <c r="F13" s="18">
        <f t="array" aca="1" ref="F13" ca="1">SUMPRODUCT(OFFSET(Mortality!$P18,0,0,Mortality!$C$7,1),Mortality!$C$6^ROW(INDIRECT("1:"&amp;$D$9)))/Mortality!H18</f>
        <v>0.11811123789436966</v>
      </c>
      <c r="G13" s="18">
        <f t="array" aca="1" ref="G13" ca="1">SUMPRODUCT(OFFSET(Mortality!$Q18,0,0,Mortality!$C$7,1),Mortality!$C$6^ROW(INDIRECT("1:"&amp;$D$9)))/Mortality!J18</f>
        <v>0.11451434554269607</v>
      </c>
    </row>
    <row r="14" spans="1:7" ht="14.25" customHeight="1" x14ac:dyDescent="0.3">
      <c r="A14" s="14"/>
      <c r="B14" s="14"/>
      <c r="C14" s="8">
        <f>graduation_data!A7</f>
        <v>25</v>
      </c>
      <c r="D14" s="8">
        <v>10</v>
      </c>
      <c r="E14" s="18">
        <f t="array" aca="1" ref="E14" ca="1">SUMPRODUCT(OFFSET(Mortality!$O19,0,0,'Assurance Factors'!D14,1),Mortality!$C$6^ROW(INDIRECT("1:"&amp;$D$9)))/Mortality!F19</f>
        <v>0.11876298820508233</v>
      </c>
      <c r="F14" s="18">
        <f t="array" aca="1" ref="F14" ca="1">SUMPRODUCT(OFFSET(Mortality!$P19,0,0,Mortality!$C$7,1),Mortality!$C$6^ROW(INDIRECT("1:"&amp;$D$9)))/Mortality!H19</f>
        <v>0.12160278866708357</v>
      </c>
      <c r="G14" s="18">
        <f t="array" aca="1" ref="G14" ca="1">SUMPRODUCT(OFFSET(Mortality!$Q19,0,0,Mortality!$C$7,1),Mortality!$C$6^ROW(INDIRECT("1:"&amp;$D$9)))/Mortality!J19</f>
        <v>0.11809668634584719</v>
      </c>
    </row>
    <row r="15" spans="1:7" ht="14.25" customHeight="1" x14ac:dyDescent="0.3">
      <c r="A15" s="14"/>
      <c r="B15" s="14"/>
      <c r="C15" s="8">
        <f>graduation_data!A8</f>
        <v>26</v>
      </c>
      <c r="D15" s="8">
        <v>10</v>
      </c>
      <c r="E15" s="18">
        <f t="array" aca="1" ref="E15" ca="1">SUMPRODUCT(OFFSET(Mortality!$O20,0,0,'Assurance Factors'!D15,1),Mortality!$C$6^ROW(INDIRECT("1:"&amp;$D$9)))/Mortality!F20</f>
        <v>0.12342534188778354</v>
      </c>
      <c r="F15" s="18">
        <f t="array" aca="1" ref="F15" ca="1">SUMPRODUCT(OFFSET(Mortality!$P20,0,0,Mortality!$C$7,1),Mortality!$C$6^ROW(INDIRECT("1:"&amp;$D$9)))/Mortality!H20</f>
        <v>0.12540245608932121</v>
      </c>
      <c r="G15" s="18">
        <f t="array" aca="1" ref="G15" ca="1">SUMPRODUCT(OFFSET(Mortality!$Q20,0,0,Mortality!$C$7,1),Mortality!$C$6^ROW(INDIRECT("1:"&amp;$D$9)))/Mortality!J20</f>
        <v>0.12214550368942553</v>
      </c>
    </row>
    <row r="16" spans="1:7" ht="14.25" customHeight="1" x14ac:dyDescent="0.3">
      <c r="A16" s="14"/>
      <c r="B16" s="14"/>
      <c r="C16" s="8">
        <f>graduation_data!A9</f>
        <v>27</v>
      </c>
      <c r="D16" s="8">
        <v>10</v>
      </c>
      <c r="E16" s="18">
        <f t="array" aca="1" ref="E16" ca="1">SUMPRODUCT(OFFSET(Mortality!$O21,0,0,'Assurance Factors'!D16,1),Mortality!$C$6^ROW(INDIRECT("1:"&amp;$D$9)))/Mortality!F21</f>
        <v>0.12710144233735893</v>
      </c>
      <c r="F16" s="18">
        <f t="array" aca="1" ref="F16" ca="1">SUMPRODUCT(OFFSET(Mortality!$P21,0,0,Mortality!$C$7,1),Mortality!$C$6^ROW(INDIRECT("1:"&amp;$D$9)))/Mortality!H21</f>
        <v>0.12953539628563404</v>
      </c>
      <c r="G16" s="18">
        <f t="array" aca="1" ref="G16" ca="1">SUMPRODUCT(OFFSET(Mortality!$Q21,0,0,Mortality!$C$7,1),Mortality!$C$6^ROW(INDIRECT("1:"&amp;$D$9)))/Mortality!J21</f>
        <v>0.12668473497187582</v>
      </c>
    </row>
    <row r="17" spans="1:7" ht="14.25" customHeight="1" x14ac:dyDescent="0.3">
      <c r="A17" s="14"/>
      <c r="B17" s="14"/>
      <c r="C17" s="8">
        <f>graduation_data!A10</f>
        <v>28</v>
      </c>
      <c r="D17" s="8">
        <v>10</v>
      </c>
      <c r="E17" s="18">
        <f t="array" aca="1" ref="E17" ca="1">SUMPRODUCT(OFFSET(Mortality!$O22,0,0,'Assurance Factors'!D17,1),Mortality!$C$6^ROW(INDIRECT("1:"&amp;$D$9)))/Mortality!F22</f>
        <v>0.13568099415336757</v>
      </c>
      <c r="F17" s="18">
        <f t="array" aca="1" ref="F17" ca="1">SUMPRODUCT(OFFSET(Mortality!$P22,0,0,Mortality!$C$7,1),Mortality!$C$6^ROW(INDIRECT("1:"&amp;$D$9)))/Mortality!H22</f>
        <v>0.13402842328092351</v>
      </c>
      <c r="G17" s="18">
        <f t="array" aca="1" ref="G17" ca="1">SUMPRODUCT(OFFSET(Mortality!$Q22,0,0,Mortality!$C$7,1),Mortality!$C$6^ROW(INDIRECT("1:"&amp;$D$9)))/Mortality!J22</f>
        <v>0.13174255038436072</v>
      </c>
    </row>
    <row r="18" spans="1:7" ht="14.25" customHeight="1" x14ac:dyDescent="0.3">
      <c r="A18" s="14"/>
      <c r="B18" s="14"/>
      <c r="C18" s="8">
        <f>graduation_data!A11</f>
        <v>29</v>
      </c>
      <c r="D18" s="8">
        <v>10</v>
      </c>
      <c r="E18" s="18">
        <f t="array" aca="1" ref="E18" ca="1">SUMPRODUCT(OFFSET(Mortality!$O23,0,0,'Assurance Factors'!D18,1),Mortality!$C$6^ROW(INDIRECT("1:"&amp;$D$9)))/Mortality!F23</f>
        <v>0.1396851232335809</v>
      </c>
      <c r="F18" s="18">
        <f t="array" aca="1" ref="F18" ca="1">SUMPRODUCT(OFFSET(Mortality!$P23,0,0,Mortality!$C$7,1),Mortality!$C$6^ROW(INDIRECT("1:"&amp;$D$9)))/Mortality!H23</f>
        <v>0.13891003821894915</v>
      </c>
      <c r="G18" s="18">
        <f t="array" aca="1" ref="G18" ca="1">SUMPRODUCT(OFFSET(Mortality!$Q23,0,0,Mortality!$C$7,1),Mortality!$C$6^ROW(INDIRECT("1:"&amp;$D$9)))/Mortality!J23</f>
        <v>0.13735190708704045</v>
      </c>
    </row>
    <row r="19" spans="1:7" ht="14.25" customHeight="1" x14ac:dyDescent="0.3">
      <c r="A19" s="14"/>
      <c r="B19" s="14"/>
      <c r="C19" s="8">
        <f>graduation_data!A12</f>
        <v>30</v>
      </c>
      <c r="D19" s="8">
        <v>10</v>
      </c>
      <c r="E19" s="18">
        <f t="array" aca="1" ref="E19" ca="1">SUMPRODUCT(OFFSET(Mortality!$O24,0,0,'Assurance Factors'!D19,1),Mortality!$C$6^ROW(INDIRECT("1:"&amp;$D$9)))/Mortality!F24</f>
        <v>0.13686725833647853</v>
      </c>
      <c r="F19" s="18">
        <f t="array" aca="1" ref="F19" ca="1">SUMPRODUCT(OFFSET(Mortality!$P24,0,0,Mortality!$C$7,1),Mortality!$C$6^ROW(INDIRECT("1:"&amp;$D$9)))/Mortality!H24</f>
        <v>0.14421044004930539</v>
      </c>
      <c r="G19" s="18">
        <f t="array" aca="1" ref="G19" ca="1">SUMPRODUCT(OFFSET(Mortality!$Q24,0,0,Mortality!$C$7,1),Mortality!$C$6^ROW(INDIRECT("1:"&amp;$D$9)))/Mortality!J24</f>
        <v>0.14355351385123685</v>
      </c>
    </row>
    <row r="20" spans="1:7" ht="14.25" customHeight="1" x14ac:dyDescent="0.3">
      <c r="A20" s="14"/>
      <c r="B20" s="14"/>
      <c r="C20" s="8">
        <f>graduation_data!A13</f>
        <v>31</v>
      </c>
      <c r="D20" s="8">
        <v>10</v>
      </c>
      <c r="E20" s="18">
        <f t="array" aca="1" ref="E20" ca="1">SUMPRODUCT(OFFSET(Mortality!$O25,0,0,'Assurance Factors'!D20,1),Mortality!$C$6^ROW(INDIRECT("1:"&amp;$D$9)))/Mortality!F25</f>
        <v>0.14177109888214451</v>
      </c>
      <c r="F20" s="18">
        <f t="array" aca="1" ref="F20" ca="1">SUMPRODUCT(OFFSET(Mortality!$P25,0,0,Mortality!$C$7,1),Mortality!$C$6^ROW(INDIRECT("1:"&amp;$D$9)))/Mortality!H25</f>
        <v>0.14996151279564979</v>
      </c>
      <c r="G20" s="18">
        <f t="array" aca="1" ref="G20" ca="1">SUMPRODUCT(OFFSET(Mortality!$Q25,0,0,Mortality!$C$7,1),Mortality!$C$6^ROW(INDIRECT("1:"&amp;$D$9)))/Mortality!J25</f>
        <v>0.1503914024968365</v>
      </c>
    </row>
    <row r="21" spans="1:7" ht="14.25" customHeight="1" x14ac:dyDescent="0.3">
      <c r="A21" s="14"/>
      <c r="B21" s="14"/>
      <c r="C21" s="8">
        <f>graduation_data!A14</f>
        <v>32</v>
      </c>
      <c r="D21" s="8">
        <v>10</v>
      </c>
      <c r="E21" s="18">
        <f t="array" aca="1" ref="E21" ca="1">SUMPRODUCT(OFFSET(Mortality!$O26,0,0,'Assurance Factors'!D21,1),Mortality!$C$6^ROW(INDIRECT("1:"&amp;$D$9)))/Mortality!F26</f>
        <v>0.15430459004582708</v>
      </c>
      <c r="F21" s="18">
        <f t="array" aca="1" ref="F21" ca="1">SUMPRODUCT(OFFSET(Mortality!$P26,0,0,Mortality!$C$7,1),Mortality!$C$6^ROW(INDIRECT("1:"&amp;$D$9)))/Mortality!H26</f>
        <v>0.15619678372794349</v>
      </c>
      <c r="G21" s="18">
        <f t="array" aca="1" ref="G21" ca="1">SUMPRODUCT(OFFSET(Mortality!$Q26,0,0,Mortality!$C$7,1),Mortality!$C$6^ROW(INDIRECT("1:"&amp;$D$9)))/Mortality!J26</f>
        <v>0.15789602150601736</v>
      </c>
    </row>
    <row r="22" spans="1:7" ht="14.25" customHeight="1" x14ac:dyDescent="0.3">
      <c r="A22" s="14"/>
      <c r="B22" s="14"/>
      <c r="C22" s="8">
        <f>graduation_data!A15</f>
        <v>33</v>
      </c>
      <c r="D22" s="8">
        <v>10</v>
      </c>
      <c r="E22" s="18">
        <f t="array" aca="1" ref="E22" ca="1">SUMPRODUCT(OFFSET(Mortality!$O27,0,0,'Assurance Factors'!D22,1),Mortality!$C$6^ROW(INDIRECT("1:"&amp;$D$9)))/Mortality!F27</f>
        <v>0.16468866282640354</v>
      </c>
      <c r="F22" s="18">
        <f t="array" aca="1" ref="F22" ca="1">SUMPRODUCT(OFFSET(Mortality!$P27,0,0,Mortality!$C$7,1),Mortality!$C$6^ROW(INDIRECT("1:"&amp;$D$9)))/Mortality!H27</f>
        <v>0.16295134590764232</v>
      </c>
      <c r="G22" s="18">
        <f t="array" aca="1" ref="G22" ca="1">SUMPRODUCT(OFFSET(Mortality!$Q27,0,0,Mortality!$C$7,1),Mortality!$C$6^ROW(INDIRECT("1:"&amp;$D$9)))/Mortality!J27</f>
        <v>0.16607615955825097</v>
      </c>
    </row>
    <row r="23" spans="1:7" ht="14.25" customHeight="1" x14ac:dyDescent="0.3">
      <c r="A23" s="14"/>
      <c r="B23" s="14"/>
      <c r="C23" s="8">
        <f>graduation_data!A16</f>
        <v>34</v>
      </c>
      <c r="D23" s="8">
        <v>10</v>
      </c>
      <c r="E23" s="18">
        <f t="array" aca="1" ref="E23" ca="1">SUMPRODUCT(OFFSET(Mortality!$O28,0,0,'Assurance Factors'!D23,1),Mortality!$C$6^ROW(INDIRECT("1:"&amp;$D$9)))/Mortality!F28</f>
        <v>0.16917061268325742</v>
      </c>
      <c r="F23" s="18">
        <f t="array" aca="1" ref="F23" ca="1">SUMPRODUCT(OFFSET(Mortality!$P28,0,0,Mortality!$C$7,1),Mortality!$C$6^ROW(INDIRECT("1:"&amp;$D$9)))/Mortality!H28</f>
        <v>0.17026173767115768</v>
      </c>
      <c r="G23" s="18">
        <f t="array" aca="1" ref="G23" ca="1">SUMPRODUCT(OFFSET(Mortality!$Q28,0,0,Mortality!$C$7,1),Mortality!$C$6^ROW(INDIRECT("1:"&amp;$D$9)))/Mortality!J28</f>
        <v>0.1749257030292376</v>
      </c>
    </row>
    <row r="24" spans="1:7" ht="14.25" customHeight="1" x14ac:dyDescent="0.3">
      <c r="A24" s="14"/>
      <c r="B24" s="14"/>
      <c r="C24" s="8">
        <f>graduation_data!A17</f>
        <v>35</v>
      </c>
      <c r="D24" s="8">
        <v>10</v>
      </c>
      <c r="E24" s="18">
        <f t="array" aca="1" ref="E24" ca="1">SUMPRODUCT(OFFSET(Mortality!$O29,0,0,'Assurance Factors'!D24,1),Mortality!$C$6^ROW(INDIRECT("1:"&amp;$D$9)))/Mortality!F29</f>
        <v>0.18703387100602648</v>
      </c>
      <c r="F24" s="18">
        <f t="array" aca="1" ref="F24" ca="1">SUMPRODUCT(OFFSET(Mortality!$P29,0,0,Mortality!$C$7,1),Mortality!$C$6^ROW(INDIRECT("1:"&amp;$D$9)))/Mortality!H29</f>
        <v>0.17816577068628653</v>
      </c>
      <c r="G24" s="18">
        <f t="array" aca="1" ref="G24" ca="1">SUMPRODUCT(OFFSET(Mortality!$Q29,0,0,Mortality!$C$7,1),Mortality!$C$6^ROW(INDIRECT("1:"&amp;$D$9)))/Mortality!J29</f>
        <v>0.18442932184759131</v>
      </c>
    </row>
    <row r="25" spans="1:7" ht="14.25" customHeight="1" x14ac:dyDescent="0.3">
      <c r="A25" s="14"/>
      <c r="B25" s="14"/>
      <c r="C25" s="8">
        <f>graduation_data!A18</f>
        <v>36</v>
      </c>
      <c r="D25" s="8">
        <v>10</v>
      </c>
      <c r="E25" s="18">
        <f t="array" aca="1" ref="E25" ca="1">SUMPRODUCT(OFFSET(Mortality!$O30,0,0,'Assurance Factors'!D25,1),Mortality!$C$6^ROW(INDIRECT("1:"&amp;$D$9)))/Mortality!F30</f>
        <v>0.20534232847120432</v>
      </c>
      <c r="F25" s="18">
        <f t="array" aca="1" ref="F25" ca="1">SUMPRODUCT(OFFSET(Mortality!$P30,0,0,Mortality!$C$7,1),Mortality!$C$6^ROW(INDIRECT("1:"&amp;$D$9)))/Mortality!H30</f>
        <v>0.18670229729286589</v>
      </c>
      <c r="G25" s="18">
        <f t="array" aca="1" ref="G25" ca="1">SUMPRODUCT(OFFSET(Mortality!$Q30,0,0,Mortality!$C$7,1),Mortality!$C$6^ROW(INDIRECT("1:"&amp;$D$9)))/Mortality!J30</f>
        <v>0.19456206390386138</v>
      </c>
    </row>
    <row r="26" spans="1:7" ht="14.25" customHeight="1" x14ac:dyDescent="0.3">
      <c r="A26" s="14"/>
      <c r="B26" s="14"/>
      <c r="C26" s="8">
        <f>graduation_data!A19</f>
        <v>37</v>
      </c>
      <c r="D26" s="8">
        <v>10</v>
      </c>
      <c r="E26" s="18">
        <f t="array" aca="1" ref="E26" ca="1">SUMPRODUCT(OFFSET(Mortality!$O31,0,0,'Assurance Factors'!D26,1),Mortality!$C$6^ROW(INDIRECT("1:"&amp;$D$9)))/Mortality!F31</f>
        <v>0.20978121695263599</v>
      </c>
      <c r="F26" s="18">
        <f t="array" aca="1" ref="F26" ca="1">SUMPRODUCT(OFFSET(Mortality!$P31,0,0,Mortality!$C$7,1),Mortality!$C$6^ROW(INDIRECT("1:"&amp;$D$9)))/Mortality!H31</f>
        <v>0.19591090697128563</v>
      </c>
      <c r="G26" s="18">
        <f t="array" aca="1" ref="G26" ca="1">SUMPRODUCT(OFFSET(Mortality!$Q31,0,0,Mortality!$C$7,1),Mortality!$C$6^ROW(INDIRECT("1:"&amp;$D$9)))/Mortality!J31</f>
        <v>0.20530070152023011</v>
      </c>
    </row>
    <row r="27" spans="1:7" ht="14.25" customHeight="1" x14ac:dyDescent="0.3">
      <c r="A27" s="14"/>
      <c r="B27" s="14"/>
      <c r="C27" s="8">
        <f>graduation_data!A20</f>
        <v>38</v>
      </c>
      <c r="D27" s="8">
        <v>10</v>
      </c>
      <c r="E27" s="18">
        <f t="array" aca="1" ref="E27" ca="1">SUMPRODUCT(OFFSET(Mortality!$O32,0,0,'Assurance Factors'!D27,1),Mortality!$C$6^ROW(INDIRECT("1:"&amp;$D$9)))/Mortality!F32</f>
        <v>0.21546295219629774</v>
      </c>
      <c r="F27" s="18">
        <f t="array" aca="1" ref="F27" ca="1">SUMPRODUCT(OFFSET(Mortality!$P32,0,0,Mortality!$C$7,1),Mortality!$C$6^ROW(INDIRECT("1:"&amp;$D$9)))/Mortality!H32</f>
        <v>0.20583154103732876</v>
      </c>
      <c r="G27" s="18">
        <f t="array" aca="1" ref="G27" ca="1">SUMPRODUCT(OFFSET(Mortality!$Q32,0,0,Mortality!$C$7,1),Mortality!$C$6^ROW(INDIRECT("1:"&amp;$D$9)))/Mortality!J32</f>
        <v>0.21663029118699909</v>
      </c>
    </row>
    <row r="28" spans="1:7" ht="14.25" customHeight="1" x14ac:dyDescent="0.3">
      <c r="A28" s="14"/>
      <c r="B28" s="14"/>
      <c r="C28" s="8">
        <f>graduation_data!A21</f>
        <v>39</v>
      </c>
      <c r="D28" s="8">
        <v>10</v>
      </c>
      <c r="E28" s="18">
        <f t="array" aca="1" ref="E28" ca="1">SUMPRODUCT(OFFSET(Mortality!$O33,0,0,'Assurance Factors'!D28,1),Mortality!$C$6^ROW(INDIRECT("1:"&amp;$D$9)))/Mortality!F33</f>
        <v>0.23443894986428535</v>
      </c>
      <c r="F28" s="18">
        <f t="array" aca="1" ref="F28" ca="1">SUMPRODUCT(OFFSET(Mortality!$P33,0,0,Mortality!$C$7,1),Mortality!$C$6^ROW(INDIRECT("1:"&amp;$D$9)))/Mortality!H33</f>
        <v>0.21650401412756662</v>
      </c>
      <c r="G28" s="18">
        <f t="array" aca="1" ref="G28" ca="1">SUMPRODUCT(OFFSET(Mortality!$Q33,0,0,Mortality!$C$7,1),Mortality!$C$6^ROW(INDIRECT("1:"&amp;$D$9)))/Mortality!J33</f>
        <v>0.22854025943523273</v>
      </c>
    </row>
    <row r="29" spans="1:7" ht="14.25" customHeight="1" x14ac:dyDescent="0.3">
      <c r="A29" s="14"/>
      <c r="B29" s="14"/>
      <c r="C29" s="8">
        <f>graduation_data!A22</f>
        <v>40</v>
      </c>
      <c r="D29" s="8">
        <v>10</v>
      </c>
      <c r="E29" s="18">
        <f t="array" aca="1" ref="E29" ca="1">SUMPRODUCT(OFFSET(Mortality!$O34,0,0,'Assurance Factors'!D29,1),Mortality!$C$6^ROW(INDIRECT("1:"&amp;$D$9)))/Mortality!F34</f>
        <v>0.24114161499622372</v>
      </c>
      <c r="F29" s="18">
        <f t="array" aca="1" ref="F29" ca="1">SUMPRODUCT(OFFSET(Mortality!$P34,0,0,Mortality!$C$7,1),Mortality!$C$6^ROW(INDIRECT("1:"&amp;$D$9)))/Mortality!H34</f>
        <v>0.22796743083046178</v>
      </c>
      <c r="G29" s="18">
        <f t="array" aca="1" ref="G29" ca="1">SUMPRODUCT(OFFSET(Mortality!$Q34,0,0,Mortality!$C$7,1),Mortality!$C$6^ROW(INDIRECT("1:"&amp;$D$9)))/Mortality!J34</f>
        <v>0.24101860284061688</v>
      </c>
    </row>
    <row r="30" spans="1:7" ht="14.25" customHeight="1" x14ac:dyDescent="0.3">
      <c r="A30" s="14"/>
      <c r="B30" s="14"/>
      <c r="C30" s="8">
        <f>graduation_data!A23</f>
        <v>41</v>
      </c>
      <c r="D30" s="8">
        <v>10</v>
      </c>
      <c r="E30" s="18">
        <f t="array" aca="1" ref="E30" ca="1">SUMPRODUCT(OFFSET(Mortality!$O35,0,0,'Assurance Factors'!D30,1),Mortality!$C$6^ROW(INDIRECT("1:"&amp;$D$9)))/Mortality!F35</f>
        <v>0.23556503284949223</v>
      </c>
      <c r="F30" s="18">
        <f t="array" aca="1" ref="F30" ca="1">SUMPRODUCT(OFFSET(Mortality!$P35,0,0,Mortality!$C$7,1),Mortality!$C$6^ROW(INDIRECT("1:"&amp;$D$9)))/Mortality!H35</f>
        <v>0.24025948607820793</v>
      </c>
      <c r="G30" s="18">
        <f t="array" aca="1" ref="G30" ca="1">SUMPRODUCT(OFFSET(Mortality!$Q35,0,0,Mortality!$C$7,1),Mortality!$C$6^ROW(INDIRECT("1:"&amp;$D$9)))/Mortality!J35</f>
        <v>0.25405515787679639</v>
      </c>
    </row>
    <row r="31" spans="1:7" ht="14.25" customHeight="1" x14ac:dyDescent="0.3">
      <c r="A31" s="14"/>
      <c r="B31" s="14"/>
      <c r="C31" s="8">
        <f>graduation_data!A24</f>
        <v>42</v>
      </c>
      <c r="D31" s="8">
        <v>10</v>
      </c>
      <c r="E31" s="18">
        <f t="array" aca="1" ref="E31" ca="1">SUMPRODUCT(OFFSET(Mortality!$O36,0,0,'Assurance Factors'!D31,1),Mortality!$C$6^ROW(INDIRECT("1:"&amp;$D$9)))/Mortality!F36</f>
        <v>0.25392298392313545</v>
      </c>
      <c r="F31" s="18">
        <f t="array" aca="1" ref="F31" ca="1">SUMPRODUCT(OFFSET(Mortality!$P36,0,0,Mortality!$C$7,1),Mortality!$C$6^ROW(INDIRECT("1:"&amp;$D$9)))/Mortality!H36</f>
        <v>0.25341563881948831</v>
      </c>
      <c r="G31" s="18">
        <f t="array" aca="1" ref="G31" ca="1">SUMPRODUCT(OFFSET(Mortality!$Q36,0,0,Mortality!$C$7,1),Mortality!$C$6^ROW(INDIRECT("1:"&amp;$D$9)))/Mortality!J36</f>
        <v>0.26763612462615805</v>
      </c>
    </row>
    <row r="32" spans="1:7" ht="14.25" customHeight="1" x14ac:dyDescent="0.3">
      <c r="A32" s="14"/>
      <c r="B32" s="14"/>
      <c r="C32" s="8">
        <f>graduation_data!A25</f>
        <v>43</v>
      </c>
      <c r="D32" s="8">
        <v>10</v>
      </c>
      <c r="E32" s="18">
        <f t="array" aca="1" ref="E32" ca="1">SUMPRODUCT(OFFSET(Mortality!$O37,0,0,'Assurance Factors'!D32,1),Mortality!$C$6^ROW(INDIRECT("1:"&amp;$D$9)))/Mortality!F37</f>
        <v>0.2589639759260785</v>
      </c>
      <c r="F32" s="18">
        <f t="array" aca="1" ref="F32" ca="1">SUMPRODUCT(OFFSET(Mortality!$P37,0,0,Mortality!$C$7,1),Mortality!$C$6^ROW(INDIRECT("1:"&amp;$D$9)))/Mortality!H37</f>
        <v>0.26746815025401227</v>
      </c>
      <c r="G32" s="18">
        <f t="array" aca="1" ref="G32" ca="1">SUMPRODUCT(OFFSET(Mortality!$Q37,0,0,Mortality!$C$7,1),Mortality!$C$6^ROW(INDIRECT("1:"&amp;$D$9)))/Mortality!J37</f>
        <v>0.28173111472878487</v>
      </c>
    </row>
    <row r="33" spans="1:7" ht="14.25" customHeight="1" x14ac:dyDescent="0.3">
      <c r="A33" s="14"/>
      <c r="B33" s="14"/>
      <c r="C33" s="8">
        <f>graduation_data!A26</f>
        <v>44</v>
      </c>
      <c r="D33" s="8">
        <v>10</v>
      </c>
      <c r="E33" s="18">
        <f t="array" aca="1" ref="E33" ca="1">SUMPRODUCT(OFFSET(Mortality!$O38,0,0,'Assurance Factors'!D33,1),Mortality!$C$6^ROW(INDIRECT("1:"&amp;$D$9)))/Mortality!F38</f>
        <v>0.28538284126667907</v>
      </c>
      <c r="F33" s="18">
        <f t="array" aca="1" ref="F33" ca="1">SUMPRODUCT(OFFSET(Mortality!$P38,0,0,Mortality!$C$7,1),Mortality!$C$6^ROW(INDIRECT("1:"&amp;$D$9)))/Mortality!H38</f>
        <v>0.28244498076889257</v>
      </c>
      <c r="G33" s="18">
        <f t="array" aca="1" ref="G33" ca="1">SUMPRODUCT(OFFSET(Mortality!$Q38,0,0,Mortality!$C$7,1),Mortality!$C$6^ROW(INDIRECT("1:"&amp;$D$9)))/Mortality!J38</f>
        <v>0.29629251316697863</v>
      </c>
    </row>
    <row r="34" spans="1:7" ht="14.25" customHeight="1" x14ac:dyDescent="0.3">
      <c r="A34" s="14"/>
      <c r="B34" s="14"/>
      <c r="C34" s="8">
        <f>graduation_data!A27</f>
        <v>45</v>
      </c>
      <c r="D34" s="8">
        <v>10</v>
      </c>
      <c r="E34" s="18">
        <f t="array" aca="1" ref="E34" ca="1">SUMPRODUCT(OFFSET(Mortality!$O39,0,0,'Assurance Factors'!D34,1),Mortality!$C$6^ROW(INDIRECT("1:"&amp;$D$9)))/Mortality!F39</f>
        <v>0.3123102720901752</v>
      </c>
      <c r="F34" s="18">
        <f t="array" aca="1" ref="F34" ca="1">SUMPRODUCT(OFFSET(Mortality!$P39,0,0,Mortality!$C$7,1),Mortality!$C$6^ROW(INDIRECT("1:"&amp;$D$9)))/Mortality!H39</f>
        <v>0.29836854394491508</v>
      </c>
      <c r="G34" s="18">
        <f t="array" aca="1" ref="G34" ca="1">SUMPRODUCT(OFFSET(Mortality!$Q39,0,0,Mortality!$C$7,1),Mortality!$C$6^ROW(INDIRECT("1:"&amp;$D$9)))/Mortality!J39</f>
        <v>0.31125674174196366</v>
      </c>
    </row>
    <row r="35" spans="1:7" ht="14.25" customHeight="1" x14ac:dyDescent="0.3">
      <c r="A35" s="14"/>
      <c r="B35" s="14"/>
      <c r="C35" s="8">
        <f>graduation_data!A28</f>
        <v>46</v>
      </c>
      <c r="D35" s="8">
        <v>10</v>
      </c>
      <c r="E35" s="18">
        <f t="array" aca="1" ref="E35" ca="1">SUMPRODUCT(OFFSET(Mortality!$O40,0,0,'Assurance Factors'!D35,1),Mortality!$C$6^ROW(INDIRECT("1:"&amp;$D$9)))/Mortality!F40</f>
        <v>0.30799361994343127</v>
      </c>
      <c r="F35" s="18">
        <f t="array" aca="1" ref="F35" ca="1">SUMPRODUCT(OFFSET(Mortality!$P40,0,0,Mortality!$C$7,1),Mortality!$C$6^ROW(INDIRECT("1:"&amp;$D$9)))/Mortality!H40</f>
        <v>0.31525432188357483</v>
      </c>
      <c r="G35" s="18">
        <f t="array" aca="1" ref="G35" ca="1">SUMPRODUCT(OFFSET(Mortality!$Q40,0,0,Mortality!$C$7,1),Mortality!$C$6^ROW(INDIRECT("1:"&amp;$D$9)))/Mortality!J40</f>
        <v>0.32655346434756788</v>
      </c>
    </row>
    <row r="36" spans="1:7" ht="14.25" customHeight="1" x14ac:dyDescent="0.3">
      <c r="A36" s="14"/>
      <c r="B36" s="14"/>
      <c r="C36" s="8">
        <f>graduation_data!A29</f>
        <v>47</v>
      </c>
      <c r="D36" s="8">
        <v>10</v>
      </c>
      <c r="E36" s="18">
        <f t="array" aca="1" ref="E36" ca="1">SUMPRODUCT(OFFSET(Mortality!$O41,0,0,'Assurance Factors'!D36,1),Mortality!$C$6^ROW(INDIRECT("1:"&amp;$D$9)))/Mortality!F41</f>
        <v>0.33096032541654224</v>
      </c>
      <c r="F36" s="18">
        <f t="array" aca="1" ref="F36" ca="1">SUMPRODUCT(OFFSET(Mortality!$P41,0,0,Mortality!$C$7,1),Mortality!$C$6^ROW(INDIRECT("1:"&amp;$D$9)))/Mortality!H41</f>
        <v>0.33310935392525304</v>
      </c>
      <c r="G36" s="18">
        <f t="array" aca="1" ref="G36" ca="1">SUMPRODUCT(OFFSET(Mortality!$Q41,0,0,Mortality!$C$7,1),Mortality!$C$6^ROW(INDIRECT("1:"&amp;$D$9)))/Mortality!J41</f>
        <v>0.34211093777154494</v>
      </c>
    </row>
    <row r="37" spans="1:7" ht="14.25" customHeight="1" x14ac:dyDescent="0.3">
      <c r="A37" s="14"/>
      <c r="B37" s="14"/>
      <c r="C37" s="8">
        <f>graduation_data!A30</f>
        <v>48</v>
      </c>
      <c r="D37" s="8">
        <v>10</v>
      </c>
      <c r="E37" s="18">
        <f t="array" aca="1" ref="E37" ca="1">SUMPRODUCT(OFFSET(Mortality!$O42,0,0,'Assurance Factors'!D37,1),Mortality!$C$6^ROW(INDIRECT("1:"&amp;$D$9)))/Mortality!F42</f>
        <v>0.33949386356671046</v>
      </c>
      <c r="F37" s="18">
        <f t="array" aca="1" ref="F37" ca="1">SUMPRODUCT(OFFSET(Mortality!$P42,0,0,Mortality!$C$7,1),Mortality!$C$6^ROW(INDIRECT("1:"&amp;$D$9)))/Mortality!H42</f>
        <v>0.35193062083172999</v>
      </c>
      <c r="G37" s="18">
        <f t="array" aca="1" ref="G37" ca="1">SUMPRODUCT(OFFSET(Mortality!$Q42,0,0,Mortality!$C$7,1),Mortality!$C$6^ROW(INDIRECT("1:"&amp;$D$9)))/Mortality!J42</f>
        <v>0.35784759731663202</v>
      </c>
    </row>
    <row r="38" spans="1:7" ht="14.25" customHeight="1" x14ac:dyDescent="0.3">
      <c r="A38" s="14"/>
      <c r="B38" s="14"/>
      <c r="C38" s="8">
        <f>graduation_data!A31</f>
        <v>49</v>
      </c>
      <c r="D38" s="8">
        <v>10</v>
      </c>
      <c r="E38" s="18">
        <f t="array" aca="1" ref="E38" ca="1">SUMPRODUCT(OFFSET(Mortality!$O43,0,0,'Assurance Factors'!D38,1),Mortality!$C$6^ROW(INDIRECT("1:"&amp;$D$9)))/Mortality!F43</f>
        <v>0.35434580868148191</v>
      </c>
      <c r="F38" s="18">
        <f t="array" aca="1" ref="F38" ca="1">SUMPRODUCT(OFFSET(Mortality!$P43,0,0,Mortality!$C$7,1),Mortality!$C$6^ROW(INDIRECT("1:"&amp;$D$9)))/Mortality!H43</f>
        <v>0.37170335885895822</v>
      </c>
      <c r="G38" s="18">
        <f t="array" aca="1" ref="G38" ca="1">SUMPRODUCT(OFFSET(Mortality!$Q43,0,0,Mortality!$C$7,1),Mortality!$C$6^ROW(INDIRECT("1:"&amp;$D$9)))/Mortality!J43</f>
        <v>0.37367669609649395</v>
      </c>
    </row>
    <row r="39" spans="1:7" ht="14.25" customHeight="1" x14ac:dyDescent="0.3">
      <c r="A39" s="14"/>
      <c r="B39" s="14"/>
      <c r="C39" s="8">
        <f>graduation_data!A32</f>
        <v>50</v>
      </c>
      <c r="D39" s="8">
        <v>10</v>
      </c>
      <c r="E39" s="18">
        <f t="array" aca="1" ref="E39" ca="1">SUMPRODUCT(OFFSET(Mortality!$O44,0,0,'Assurance Factors'!D39,1),Mortality!$C$6^ROW(INDIRECT("1:"&amp;$D$9)))/Mortality!F44</f>
        <v>0.38070166579423242</v>
      </c>
      <c r="F39" s="18">
        <f t="array" aca="1" ref="F39" ca="1">SUMPRODUCT(OFFSET(Mortality!$P44,0,0,Mortality!$C$7,1),Mortality!$C$6^ROW(INDIRECT("1:"&amp;$D$9)))/Mortality!H44</f>
        <v>0.39239935287417327</v>
      </c>
      <c r="G39" s="18">
        <f t="array" aca="1" ref="G39" ca="1">SUMPRODUCT(OFFSET(Mortality!$Q44,0,0,Mortality!$C$7,1),Mortality!$C$6^ROW(INDIRECT("1:"&amp;$D$9)))/Mortality!J44</f>
        <v>0.38950636043809322</v>
      </c>
    </row>
  </sheetData>
  <mergeCells count="1">
    <mergeCell ref="C7:G7"/>
  </mergeCell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9"/>
  <sheetViews>
    <sheetView topLeftCell="H3" zoomScaleNormal="100" workbookViewId="0">
      <selection activeCell="D7" sqref="D7:H7"/>
    </sheetView>
  </sheetViews>
  <sheetFormatPr defaultColWidth="8.6640625" defaultRowHeight="14.4" x14ac:dyDescent="0.3"/>
  <cols>
    <col min="4" max="4" width="7" customWidth="1"/>
    <col min="5" max="5" width="9" customWidth="1"/>
    <col min="6" max="6" width="10" customWidth="1"/>
    <col min="7" max="8" width="18" customWidth="1"/>
  </cols>
  <sheetData>
    <row r="1" spans="1:8" ht="14.25" customHeight="1" x14ac:dyDescent="0.3">
      <c r="A1" s="14"/>
      <c r="B1" s="14"/>
      <c r="C1" s="14"/>
      <c r="D1" s="14"/>
      <c r="E1" s="14"/>
      <c r="F1" s="14"/>
      <c r="G1" s="14"/>
      <c r="H1" s="14"/>
    </row>
    <row r="2" spans="1:8" ht="14.25" customHeight="1" x14ac:dyDescent="0.3">
      <c r="A2" s="14"/>
      <c r="B2" s="14"/>
      <c r="C2" s="14"/>
      <c r="D2" s="14"/>
      <c r="E2" s="14"/>
      <c r="F2" s="14"/>
      <c r="G2" s="14"/>
      <c r="H2" s="14"/>
    </row>
    <row r="3" spans="1:8" ht="14.25" customHeight="1" x14ac:dyDescent="0.3">
      <c r="A3" s="14"/>
      <c r="B3" s="14"/>
      <c r="C3" s="14"/>
      <c r="D3" s="14"/>
      <c r="E3" s="14"/>
      <c r="F3" s="14"/>
      <c r="G3" s="14"/>
      <c r="H3" s="14"/>
    </row>
    <row r="4" spans="1:8" ht="14.25" customHeight="1" x14ac:dyDescent="0.3">
      <c r="A4" s="14"/>
      <c r="B4" s="14"/>
      <c r="C4" s="14"/>
      <c r="D4" s="14"/>
      <c r="E4" s="14"/>
      <c r="F4" s="14"/>
      <c r="G4" s="14"/>
      <c r="H4" s="14"/>
    </row>
    <row r="5" spans="1:8" ht="14.25" customHeight="1" x14ac:dyDescent="0.3">
      <c r="A5" s="14"/>
      <c r="B5" s="14"/>
      <c r="C5" s="14"/>
      <c r="D5" s="14"/>
      <c r="E5" s="14"/>
      <c r="F5" s="14"/>
      <c r="G5" s="14"/>
      <c r="H5" s="14"/>
    </row>
    <row r="6" spans="1:8" ht="14.25" customHeight="1" x14ac:dyDescent="0.3">
      <c r="A6" s="14"/>
      <c r="B6" s="14"/>
      <c r="C6" s="14"/>
      <c r="D6" s="14"/>
      <c r="E6" s="14"/>
      <c r="F6" s="14"/>
      <c r="G6" s="14"/>
      <c r="H6" s="14"/>
    </row>
    <row r="7" spans="1:8" ht="15.75" customHeight="1" x14ac:dyDescent="0.3">
      <c r="A7" s="14"/>
      <c r="B7" s="14"/>
      <c r="C7" s="14"/>
      <c r="D7" s="6" t="s">
        <v>34</v>
      </c>
      <c r="E7" s="6"/>
      <c r="F7" s="6"/>
      <c r="G7" s="6"/>
      <c r="H7" s="6"/>
    </row>
    <row r="8" spans="1:8" ht="23.25" customHeight="1" x14ac:dyDescent="0.3">
      <c r="A8" s="14"/>
      <c r="B8" s="14"/>
      <c r="C8" s="14"/>
      <c r="D8" s="7" t="s">
        <v>0</v>
      </c>
      <c r="E8" s="7" t="s">
        <v>30</v>
      </c>
      <c r="F8" s="7" t="s">
        <v>31</v>
      </c>
      <c r="G8" s="7" t="s">
        <v>32</v>
      </c>
      <c r="H8" s="7" t="s">
        <v>33</v>
      </c>
    </row>
    <row r="9" spans="1:8" ht="14.25" customHeight="1" x14ac:dyDescent="0.3">
      <c r="A9" s="14"/>
      <c r="B9" s="14"/>
      <c r="C9" s="14"/>
      <c r="D9" s="8">
        <v>20</v>
      </c>
      <c r="E9" s="8">
        <v>10</v>
      </c>
      <c r="F9" s="18">
        <f t="array" aca="1" ref="F9" ca="1">SUMPRODUCT(OFFSET(Mortality!$F14,0,0,'Annuity Factors'!$E$9,1),Mortality!$C$6^(ROW(INDIRECT("1:"&amp;$E$9))-1))/Mortality!F14</f>
        <v>7.6580384498194851</v>
      </c>
      <c r="G9" s="18">
        <f t="array" aca="1" ref="G9" ca="1">SUMPRODUCT(OFFSET(Mortality!$H14,0,0,Mortality!$C$7,1),Mortality!$C$6^(ROW(INDIRECT("1:"&amp;$E$9))-1))/Mortality!H14</f>
        <v>7.6547866324606977</v>
      </c>
      <c r="H9" s="18">
        <f t="array" aca="1" ref="H9" ca="1">SUMPRODUCT(OFFSET(Mortality!$J14,0,0,Mortality!$C$7,1),Mortality!$C$6^(ROW(INDIRECT("1:"&amp;$E$9))-1))/Mortality!J14</f>
        <v>7.6624117803698635</v>
      </c>
    </row>
    <row r="10" spans="1:8" ht="14.25" customHeight="1" x14ac:dyDescent="0.3">
      <c r="A10" s="14"/>
      <c r="B10" s="14"/>
      <c r="C10" s="14"/>
      <c r="D10" s="8">
        <v>21</v>
      </c>
      <c r="E10" s="8">
        <v>10</v>
      </c>
      <c r="F10" s="18">
        <f t="array" aca="1" ref="F10" ca="1">SUMPRODUCT(OFFSET(Mortality!$F15,0,0,'Annuity Factors'!$E$9,1),Mortality!$C$6^(ROW(INDIRECT("1:"&amp;$E$9))-1))/Mortality!F15</f>
        <v>7.666420722383088</v>
      </c>
      <c r="G10" s="18">
        <f t="array" aca="1" ref="G10" ca="1">SUMPRODUCT(OFFSET(Mortality!$H15,0,0,Mortality!$C$7,1),Mortality!$C$6^(ROW(INDIRECT("1:"&amp;$E$9))-1))/Mortality!H15</f>
        <v>7.6451711333553334</v>
      </c>
      <c r="H10" s="18">
        <f t="array" aca="1" ref="H10" ca="1">SUMPRODUCT(OFFSET(Mortality!$J15,0,0,Mortality!$C$7,1),Mortality!$C$6^(ROW(INDIRECT("1:"&amp;$E$9))-1))/Mortality!J15</f>
        <v>7.6560465949788385</v>
      </c>
    </row>
    <row r="11" spans="1:8" ht="14.25" customHeight="1" x14ac:dyDescent="0.3">
      <c r="A11" s="14"/>
      <c r="B11" s="14"/>
      <c r="C11" s="14"/>
      <c r="D11" s="8">
        <v>22</v>
      </c>
      <c r="E11" s="8">
        <v>10</v>
      </c>
      <c r="F11" s="18">
        <f t="array" aca="1" ref="F11" ca="1">SUMPRODUCT(OFFSET(Mortality!$F16,0,0,'Annuity Factors'!$E$9,1),Mortality!$C$6^(ROW(INDIRECT("1:"&amp;$E$9))-1))/Mortality!F16</f>
        <v>7.6929333713294472</v>
      </c>
      <c r="G11" s="18">
        <f t="array" aca="1" ref="G11" ca="1">SUMPRODUCT(OFFSET(Mortality!$H16,0,0,Mortality!$C$7,1),Mortality!$C$6^(ROW(INDIRECT("1:"&amp;$E$9))-1))/Mortality!H16</f>
        <v>7.6346748206666541</v>
      </c>
      <c r="H11" s="18">
        <f t="array" aca="1" ref="H11" ca="1">SUMPRODUCT(OFFSET(Mortality!$J16,0,0,Mortality!$C$7,1),Mortality!$C$6^(ROW(INDIRECT("1:"&amp;$E$9))-1))/Mortality!J16</f>
        <v>7.6482304699250676</v>
      </c>
    </row>
    <row r="12" spans="1:8" ht="14.25" customHeight="1" x14ac:dyDescent="0.3">
      <c r="A12" s="14"/>
      <c r="B12" s="14"/>
      <c r="C12" s="14"/>
      <c r="D12" s="8">
        <v>23</v>
      </c>
      <c r="E12" s="8">
        <v>10</v>
      </c>
      <c r="F12" s="18">
        <f t="array" aca="1" ref="F12" ca="1">SUMPRODUCT(OFFSET(Mortality!$F17,0,0,'Annuity Factors'!$E$9,1),Mortality!$C$6^(ROW(INDIRECT("1:"&amp;$E$9))-1))/Mortality!F17</f>
        <v>7.6814998822325764</v>
      </c>
      <c r="G12" s="18">
        <f t="array" aca="1" ref="G12" ca="1">SUMPRODUCT(OFFSET(Mortality!$H17,0,0,Mortality!$C$7,1),Mortality!$C$6^(ROW(INDIRECT("1:"&amp;$E$9))-1))/Mortality!H17</f>
        <v>7.6232193364579022</v>
      </c>
      <c r="H12" s="18">
        <f t="array" aca="1" ref="H12" ca="1">SUMPRODUCT(OFFSET(Mortality!$J17,0,0,Mortality!$C$7,1),Mortality!$C$6^(ROW(INDIRECT("1:"&amp;$E$9))-1))/Mortality!J17</f>
        <v>7.6386853271074298</v>
      </c>
    </row>
    <row r="13" spans="1:8" ht="14.25" customHeight="1" x14ac:dyDescent="0.3">
      <c r="A13" s="14"/>
      <c r="B13" s="14"/>
      <c r="C13" s="14"/>
      <c r="D13" s="8">
        <v>24</v>
      </c>
      <c r="E13" s="8">
        <v>10</v>
      </c>
      <c r="F13" s="18">
        <f t="array" aca="1" ref="F13" ca="1">SUMPRODUCT(OFFSET(Mortality!$F18,0,0,'Annuity Factors'!$E$9,1),Mortality!$C$6^(ROW(INDIRECT("1:"&amp;$E$9))-1))/Mortality!F18</f>
        <v>7.6402048679194303</v>
      </c>
      <c r="G13" s="18">
        <f t="array" aca="1" ref="G13" ca="1">SUMPRODUCT(OFFSET(Mortality!$H18,0,0,Mortality!$C$7,1),Mortality!$C$6^(ROW(INDIRECT("1:"&amp;$E$9))-1))/Mortality!H18</f>
        <v>7.6107198060115921</v>
      </c>
      <c r="H13" s="18">
        <f t="array" aca="1" ref="H13" ca="1">SUMPRODUCT(OFFSET(Mortality!$J18,0,0,Mortality!$C$7,1),Mortality!$C$6^(ROW(INDIRECT("1:"&amp;$E$9))-1))/Mortality!J18</f>
        <v>7.6272735761023647</v>
      </c>
    </row>
    <row r="14" spans="1:8" ht="14.25" customHeight="1" x14ac:dyDescent="0.3">
      <c r="A14" s="14"/>
      <c r="B14" s="14"/>
      <c r="C14" s="14"/>
      <c r="D14" s="8">
        <v>25</v>
      </c>
      <c r="E14" s="8">
        <v>10</v>
      </c>
      <c r="F14" s="18">
        <f t="array" aca="1" ref="F14" ca="1">SUMPRODUCT(OFFSET(Mortality!$F19,0,0,'Annuity Factors'!$E$9,1),Mortality!$C$6^(ROW(INDIRECT("1:"&amp;$E$9))-1))/Mortality!F19</f>
        <v>7.5748241128867413</v>
      </c>
      <c r="G14" s="18">
        <f t="array" aca="1" ref="G14" ca="1">SUMPRODUCT(OFFSET(Mortality!$H19,0,0,Mortality!$C$7,1),Mortality!$C$6^(ROW(INDIRECT("1:"&amp;$E$9))-1))/Mortality!H19</f>
        <v>7.5970843852774168</v>
      </c>
      <c r="H14" s="18">
        <f t="array" aca="1" ref="H14" ca="1">SUMPRODUCT(OFFSET(Mortality!$J19,0,0,Mortality!$C$7,1),Mortality!$C$6^(ROW(INDIRECT("1:"&amp;$E$9))-1))/Mortality!J19</f>
        <v>7.6140041304698443</v>
      </c>
    </row>
    <row r="15" spans="1:8" ht="14.25" customHeight="1" x14ac:dyDescent="0.3">
      <c r="A15" s="14"/>
      <c r="B15" s="14"/>
      <c r="C15" s="14"/>
      <c r="D15" s="8">
        <v>26</v>
      </c>
      <c r="E15" s="8">
        <v>10</v>
      </c>
      <c r="F15" s="18">
        <f t="array" aca="1" ref="F15" ca="1">SUMPRODUCT(OFFSET(Mortality!$F20,0,0,'Annuity Factors'!$E$9,1),Mortality!$C$6^(ROW(INDIRECT("1:"&amp;$E$9))-1))/Mortality!F20</f>
        <v>7.5665620083036478</v>
      </c>
      <c r="G15" s="18">
        <f t="array" aca="1" ref="G15" ca="1">SUMPRODUCT(OFFSET(Mortality!$H20,0,0,Mortality!$C$7,1),Mortality!$C$6^(ROW(INDIRECT("1:"&amp;$E$9))-1))/Mortality!H20</f>
        <v>7.5822137951968829</v>
      </c>
      <c r="H15" s="18">
        <f t="array" aca="1" ref="H15" ca="1">SUMPRODUCT(OFFSET(Mortality!$J20,0,0,Mortality!$C$7,1),Mortality!$C$6^(ROW(INDIRECT("1:"&amp;$E$9))-1))/Mortality!J20</f>
        <v>7.5989392770278208</v>
      </c>
    </row>
    <row r="16" spans="1:8" ht="14.25" customHeight="1" x14ac:dyDescent="0.3">
      <c r="A16" s="14"/>
      <c r="B16" s="14"/>
      <c r="C16" s="14"/>
      <c r="D16" s="8">
        <v>27</v>
      </c>
      <c r="E16" s="8">
        <v>10</v>
      </c>
      <c r="F16" s="18">
        <f t="array" aca="1" ref="F16" ca="1">SUMPRODUCT(OFFSET(Mortality!$F21,0,0,'Annuity Factors'!$E$9,1),Mortality!$C$6^(ROW(INDIRECT("1:"&amp;$E$9))-1))/Mortality!F21</f>
        <v>7.5388272337015287</v>
      </c>
      <c r="G16" s="18">
        <f t="array" aca="1" ref="G16" ca="1">SUMPRODUCT(OFFSET(Mortality!$H21,0,0,Mortality!$C$7,1),Mortality!$C$6^(ROW(INDIRECT("1:"&amp;$E$9))-1))/Mortality!H21</f>
        <v>7.5660008468454558</v>
      </c>
      <c r="H16" s="18">
        <f t="array" aca="1" ref="H16" ca="1">SUMPRODUCT(OFFSET(Mortality!$J21,0,0,Mortality!$C$7,1),Mortality!$C$6^(ROW(INDIRECT("1:"&amp;$E$9))-1))/Mortality!J21</f>
        <v>7.582072682283413</v>
      </c>
    </row>
    <row r="17" spans="1:8" ht="14.25" customHeight="1" x14ac:dyDescent="0.3">
      <c r="A17" s="14"/>
      <c r="B17" s="14"/>
      <c r="C17" s="14"/>
      <c r="D17" s="8">
        <v>28</v>
      </c>
      <c r="E17" s="8">
        <v>10</v>
      </c>
      <c r="F17" s="18">
        <f t="array" aca="1" ref="F17" ca="1">SUMPRODUCT(OFFSET(Mortality!$F22,0,0,'Annuity Factors'!$E$9,1),Mortality!$C$6^(ROW(INDIRECT("1:"&amp;$E$9))-1))/Mortality!F22</f>
        <v>7.5229414400607455</v>
      </c>
      <c r="G17" s="18">
        <f t="array" aca="1" ref="G17" ca="1">SUMPRODUCT(OFFSET(Mortality!$H22,0,0,Mortality!$C$7,1),Mortality!$C$6^(ROW(INDIRECT("1:"&amp;$E$9))-1))/Mortality!H22</f>
        <v>7.5483299625415992</v>
      </c>
      <c r="H17" s="18">
        <f t="array" aca="1" ref="H17" ca="1">SUMPRODUCT(OFFSET(Mortality!$J22,0,0,Mortality!$C$7,1),Mortality!$C$6^(ROW(INDIRECT("1:"&amp;$E$9))-1))/Mortality!J22</f>
        <v>7.5633091935859698</v>
      </c>
    </row>
    <row r="18" spans="1:8" ht="14.25" customHeight="1" x14ac:dyDescent="0.3">
      <c r="A18" s="14"/>
      <c r="B18" s="14"/>
      <c r="C18" s="14"/>
      <c r="D18" s="8">
        <v>29</v>
      </c>
      <c r="E18" s="8">
        <v>10</v>
      </c>
      <c r="F18" s="18">
        <f t="array" aca="1" ref="F18" ca="1">SUMPRODUCT(OFFSET(Mortality!$F23,0,0,'Annuity Factors'!$E$9,1),Mortality!$C$6^(ROW(INDIRECT("1:"&amp;$E$9))-1))/Mortality!F23</f>
        <v>7.4925679299065466</v>
      </c>
      <c r="G18" s="18">
        <f t="array" aca="1" ref="G18" ca="1">SUMPRODUCT(OFFSET(Mortality!$H23,0,0,Mortality!$C$7,1),Mortality!$C$6^(ROW(INDIRECT("1:"&amp;$E$9))-1))/Mortality!H23</f>
        <v>7.5290766995078311</v>
      </c>
      <c r="H18" s="18">
        <f t="array" aca="1" ref="H18" ca="1">SUMPRODUCT(OFFSET(Mortality!$J23,0,0,Mortality!$C$7,1),Mortality!$C$6^(ROW(INDIRECT("1:"&amp;$E$9))-1))/Mortality!J23</f>
        <v>7.5424470922129512</v>
      </c>
    </row>
    <row r="19" spans="1:8" ht="14.25" customHeight="1" x14ac:dyDescent="0.3">
      <c r="A19" s="14"/>
      <c r="B19" s="14"/>
      <c r="C19" s="14"/>
      <c r="D19" s="8">
        <v>30</v>
      </c>
      <c r="E19" s="8">
        <v>10</v>
      </c>
      <c r="F19" s="18">
        <f t="array" aca="1" ref="F19" ca="1">SUMPRODUCT(OFFSET(Mortality!$F24,0,0,'Annuity Factors'!$E$9,1),Mortality!$C$6^(ROW(INDIRECT("1:"&amp;$E$9))-1))/Mortality!F24</f>
        <v>7.5467392733098206</v>
      </c>
      <c r="G19" s="18">
        <f t="array" aca="1" ref="G19" ca="1">SUMPRODUCT(OFFSET(Mortality!$H24,0,0,Mortality!$C$7,1),Mortality!$C$6^(ROW(INDIRECT("1:"&amp;$E$9))-1))/Mortality!H24</f>
        <v>7.5081072843608725</v>
      </c>
      <c r="H19" s="18">
        <f t="array" aca="1" ref="H19" ca="1">SUMPRODUCT(OFFSET(Mortality!$J24,0,0,Mortality!$C$7,1),Mortality!$C$6^(ROW(INDIRECT("1:"&amp;$E$9))-1))/Mortality!J24</f>
        <v>7.5191719533741717</v>
      </c>
    </row>
    <row r="20" spans="1:8" ht="14.25" customHeight="1" x14ac:dyDescent="0.3">
      <c r="A20" s="14"/>
      <c r="B20" s="14"/>
      <c r="C20" s="14"/>
      <c r="D20" s="8">
        <v>31</v>
      </c>
      <c r="E20" s="8">
        <v>10</v>
      </c>
      <c r="F20" s="18">
        <f t="array" aca="1" ref="F20" ca="1">SUMPRODUCT(OFFSET(Mortality!$F25,0,0,'Annuity Factors'!$E$9,1),Mortality!$C$6^(ROW(INDIRECT("1:"&amp;$E$9))-1))/Mortality!F25</f>
        <v>7.5908375338508334</v>
      </c>
      <c r="G20" s="18">
        <f t="array" aca="1" ref="G20" ca="1">SUMPRODUCT(OFFSET(Mortality!$H25,0,0,Mortality!$C$7,1),Mortality!$C$6^(ROW(INDIRECT("1:"&amp;$E$9))-1))/Mortality!H25</f>
        <v>7.485278168686313</v>
      </c>
      <c r="H20" s="18">
        <f t="array" aca="1" ref="H20" ca="1">SUMPRODUCT(OFFSET(Mortality!$J25,0,0,Mortality!$C$7,1),Mortality!$C$6^(ROW(INDIRECT("1:"&amp;$E$9))-1))/Mortality!J25</f>
        <v>7.4930730739566869</v>
      </c>
    </row>
    <row r="21" spans="1:8" ht="14.25" customHeight="1" x14ac:dyDescent="0.3">
      <c r="A21" s="14"/>
      <c r="B21" s="14"/>
      <c r="C21" s="14"/>
      <c r="D21" s="8">
        <v>32</v>
      </c>
      <c r="E21" s="8">
        <v>10</v>
      </c>
      <c r="F21" s="18">
        <f t="array" aca="1" ref="F21" ca="1">SUMPRODUCT(OFFSET(Mortality!$F26,0,0,'Annuity Factors'!$E$9,1),Mortality!$C$6^(ROW(INDIRECT("1:"&amp;$E$9))-1))/Mortality!F26</f>
        <v>7.5341292600299852</v>
      </c>
      <c r="G21" s="18">
        <f t="array" aca="1" ref="G21" ca="1">SUMPRODUCT(OFFSET(Mortality!$H26,0,0,Mortality!$C$7,1),Mortality!$C$6^(ROW(INDIRECT("1:"&amp;$E$9))-1))/Mortality!H26</f>
        <v>7.4604356182472733</v>
      </c>
      <c r="H21" s="18">
        <f t="array" aca="1" ref="H21" ca="1">SUMPRODUCT(OFFSET(Mortality!$J26,0,0,Mortality!$C$7,1),Mortality!$C$6^(ROW(INDIRECT("1:"&amp;$E$9))-1))/Mortality!J26</f>
        <v>7.4637926381714763</v>
      </c>
    </row>
    <row r="22" spans="1:8" ht="14.25" customHeight="1" x14ac:dyDescent="0.3">
      <c r="A22" s="14"/>
      <c r="B22" s="14"/>
      <c r="C22" s="14"/>
      <c r="D22" s="8">
        <v>33</v>
      </c>
      <c r="E22" s="8">
        <v>10</v>
      </c>
      <c r="F22" s="18">
        <f t="array" aca="1" ref="F22" ca="1">SUMPRODUCT(OFFSET(Mortality!$F27,0,0,'Annuity Factors'!$E$9,1),Mortality!$C$6^(ROW(INDIRECT("1:"&amp;$E$9))-1))/Mortality!F27</f>
        <v>7.4544233314177752</v>
      </c>
      <c r="G22" s="18">
        <f t="array" aca="1" ref="G22" ca="1">SUMPRODUCT(OFFSET(Mortality!$H27,0,0,Mortality!$C$7,1),Mortality!$C$6^(ROW(INDIRECT("1:"&amp;$E$9))-1))/Mortality!H27</f>
        <v>7.4334153510128962</v>
      </c>
      <c r="H22" s="18">
        <f t="array" aca="1" ref="H22" ca="1">SUMPRODUCT(OFFSET(Mortality!$J27,0,0,Mortality!$C$7,1),Mortality!$C$6^(ROW(INDIRECT("1:"&amp;$E$9))-1))/Mortality!J27</f>
        <v>7.4311531507442776</v>
      </c>
    </row>
    <row r="23" spans="1:8" ht="14.25" customHeight="1" x14ac:dyDescent="0.3">
      <c r="A23" s="14"/>
      <c r="B23" s="14"/>
      <c r="C23" s="14"/>
      <c r="D23" s="8">
        <v>34</v>
      </c>
      <c r="E23" s="8">
        <v>10</v>
      </c>
      <c r="F23" s="18">
        <f t="array" aca="1" ref="F23" ca="1">SUMPRODUCT(OFFSET(Mortality!$F28,0,0,'Annuity Factors'!$E$9,1),Mortality!$C$6^(ROW(INDIRECT("1:"&amp;$E$9))-1))/Mortality!F28</f>
        <v>7.4392134446650173</v>
      </c>
      <c r="G23" s="18">
        <f t="array" aca="1" ref="G23" ca="1">SUMPRODUCT(OFFSET(Mortality!$H28,0,0,Mortality!$C$7,1),Mortality!$C$6^(ROW(INDIRECT("1:"&amp;$E$9))-1))/Mortality!H28</f>
        <v>7.4040422421934693</v>
      </c>
      <c r="H23" s="18">
        <f t="array" aca="1" ref="H23" ca="1">SUMPRODUCT(OFFSET(Mortality!$J28,0,0,Mortality!$C$7,1),Mortality!$C$6^(ROW(INDIRECT("1:"&amp;$E$9))-1))/Mortality!J28</f>
        <v>7.3951268462201307</v>
      </c>
    </row>
    <row r="24" spans="1:8" ht="14.25" customHeight="1" x14ac:dyDescent="0.3">
      <c r="A24" s="14"/>
      <c r="B24" s="14"/>
      <c r="C24" s="14"/>
      <c r="D24" s="8">
        <v>35</v>
      </c>
      <c r="E24" s="8">
        <v>10</v>
      </c>
      <c r="F24" s="18">
        <f t="array" aca="1" ref="F24" ca="1">SUMPRODUCT(OFFSET(Mortality!$F29,0,0,'Annuity Factors'!$E$9,1),Mortality!$C$6^(ROW(INDIRECT("1:"&amp;$E$9))-1))/Mortality!F29</f>
        <v>7.3213900869900463</v>
      </c>
      <c r="G24" s="18">
        <f t="array" aca="1" ref="G24" ca="1">SUMPRODUCT(OFFSET(Mortality!$H29,0,0,Mortality!$C$7,1),Mortality!$C$6^(ROW(INDIRECT("1:"&amp;$E$9))-1))/Mortality!H29</f>
        <v>7.3721301178479157</v>
      </c>
      <c r="H24" s="18">
        <f t="array" aca="1" ref="H24" ca="1">SUMPRODUCT(OFFSET(Mortality!$J29,0,0,Mortality!$C$7,1),Mortality!$C$6^(ROW(INDIRECT("1:"&amp;$E$9))-1))/Mortality!J29</f>
        <v>7.355767668046715</v>
      </c>
    </row>
    <row r="25" spans="1:8" ht="14.25" customHeight="1" x14ac:dyDescent="0.3">
      <c r="A25" s="14"/>
      <c r="B25" s="14"/>
      <c r="C25" s="14"/>
      <c r="D25" s="8">
        <v>36</v>
      </c>
      <c r="E25" s="8">
        <v>10</v>
      </c>
      <c r="F25" s="18">
        <f t="array" aca="1" ref="F25" ca="1">SUMPRODUCT(OFFSET(Mortality!$F30,0,0,'Annuity Factors'!$E$9,1),Mortality!$C$6^(ROW(INDIRECT("1:"&amp;$E$9))-1))/Mortality!F30</f>
        <v>7.2961989854227838</v>
      </c>
      <c r="G25" s="18">
        <f t="array" aca="1" ref="G25" ca="1">SUMPRODUCT(OFFSET(Mortality!$H30,0,0,Mortality!$C$7,1),Mortality!$C$6^(ROW(INDIRECT("1:"&amp;$E$9))-1))/Mortality!H30</f>
        <v>7.3374816623871242</v>
      </c>
      <c r="H25" s="18">
        <f t="array" aca="1" ref="H25" ca="1">SUMPRODUCT(OFFSET(Mortality!$J30,0,0,Mortality!$C$7,1),Mortality!$C$6^(ROW(INDIRECT("1:"&amp;$E$9))-1))/Mortality!J30</f>
        <v>7.3131978736091563</v>
      </c>
    </row>
    <row r="26" spans="1:8" ht="14.25" customHeight="1" x14ac:dyDescent="0.3">
      <c r="A26" s="14"/>
      <c r="B26" s="14"/>
      <c r="C26" s="14"/>
      <c r="D26" s="8">
        <v>37</v>
      </c>
      <c r="E26" s="8">
        <v>10</v>
      </c>
      <c r="F26" s="18">
        <f t="array" aca="1" ref="F26" ca="1">SUMPRODUCT(OFFSET(Mortality!$F31,0,0,'Annuity Factors'!$E$9,1),Mortality!$C$6^(ROW(INDIRECT("1:"&amp;$E$9))-1))/Mortality!F31</f>
        <v>7.2104672723473904</v>
      </c>
      <c r="G26" s="18">
        <f t="array" aca="1" ref="G26" ca="1">SUMPRODUCT(OFFSET(Mortality!$H31,0,0,Mortality!$C$7,1),Mortality!$C$6^(ROW(INDIRECT("1:"&amp;$E$9))-1))/Mortality!H31</f>
        <v>7.2998884694158575</v>
      </c>
      <c r="H26" s="18">
        <f t="array" aca="1" ref="H26" ca="1">SUMPRODUCT(OFFSET(Mortality!$J31,0,0,Mortality!$C$7,1),Mortality!$C$6^(ROW(INDIRECT("1:"&amp;$E$9))-1))/Mortality!J31</f>
        <v>7.2675197718612754</v>
      </c>
    </row>
    <row r="27" spans="1:8" ht="14.25" customHeight="1" x14ac:dyDescent="0.3">
      <c r="A27" s="14"/>
      <c r="B27" s="14"/>
      <c r="C27" s="14"/>
      <c r="D27" s="8">
        <v>38</v>
      </c>
      <c r="E27" s="8">
        <v>10</v>
      </c>
      <c r="F27" s="18">
        <f t="array" aca="1" ref="F27" ca="1">SUMPRODUCT(OFFSET(Mortality!$F32,0,0,'Annuity Factors'!$E$9,1),Mortality!$C$6^(ROW(INDIRECT("1:"&amp;$E$9))-1))/Mortality!F32</f>
        <v>7.2109468406313644</v>
      </c>
      <c r="G27" s="18">
        <f t="array" aca="1" ref="G27" ca="1">SUMPRODUCT(OFFSET(Mortality!$H32,0,0,Mortality!$C$7,1),Mortality!$C$6^(ROW(INDIRECT("1:"&amp;$E$9))-1))/Mortality!H32</f>
        <v>7.2591312697931674</v>
      </c>
      <c r="H27" s="18">
        <f t="array" aca="1" ref="H27" ca="1">SUMPRODUCT(OFFSET(Mortality!$J32,0,0,Mortality!$C$7,1),Mortality!$C$6^(ROW(INDIRECT("1:"&amp;$E$9))-1))/Mortality!J32</f>
        <v>7.2188020406701199</v>
      </c>
    </row>
    <row r="28" spans="1:8" ht="14.25" customHeight="1" x14ac:dyDescent="0.3">
      <c r="A28" s="14"/>
      <c r="B28" s="14"/>
      <c r="C28" s="14"/>
      <c r="D28" s="8">
        <v>39</v>
      </c>
      <c r="E28" s="8">
        <v>10</v>
      </c>
      <c r="F28" s="18">
        <f t="array" aca="1" ref="F28" ca="1">SUMPRODUCT(OFFSET(Mortality!$F33,0,0,'Annuity Factors'!$E$9,1),Mortality!$C$6^(ROW(INDIRECT("1:"&amp;$E$9))-1))/Mortality!F33</f>
        <v>7.1268108001611985</v>
      </c>
      <c r="G28" s="18">
        <f t="array" aca="1" ref="G28" ca="1">SUMPRODUCT(OFFSET(Mortality!$H33,0,0,Mortality!$C$7,1),Mortality!$C$6^(ROW(INDIRECT("1:"&amp;$E$9))-1))/Mortality!H33</f>
        <v>7.2149803754688833</v>
      </c>
      <c r="H28" s="18">
        <f t="array" aca="1" ref="H28" ca="1">SUMPRODUCT(OFFSET(Mortality!$J33,0,0,Mortality!$C$7,1),Mortality!$C$6^(ROW(INDIRECT("1:"&amp;$E$9))-1))/Mortality!J33</f>
        <v>7.167057787627594</v>
      </c>
    </row>
    <row r="29" spans="1:8" ht="14.25" customHeight="1" x14ac:dyDescent="0.3">
      <c r="A29" s="14"/>
      <c r="B29" s="14"/>
      <c r="C29" s="14"/>
      <c r="D29" s="8">
        <v>40</v>
      </c>
      <c r="E29" s="8">
        <v>10</v>
      </c>
      <c r="F29" s="18">
        <f t="array" aca="1" ref="F29" ca="1">SUMPRODUCT(OFFSET(Mortality!$F34,0,0,'Annuity Factors'!$E$9,1),Mortality!$C$6^(ROW(INDIRECT("1:"&amp;$E$9))-1))/Mortality!F34</f>
        <v>7.0654270019379659</v>
      </c>
      <c r="G29" s="18">
        <f t="array" aca="1" ref="G29" ca="1">SUMPRODUCT(OFFSET(Mortality!$H34,0,0,Mortality!$C$7,1),Mortality!$C$6^(ROW(INDIRECT("1:"&amp;$E$9))-1))/Mortality!H34</f>
        <v>7.1671963824488252</v>
      </c>
      <c r="H29" s="18">
        <f t="array" aca="1" ref="H29" ca="1">SUMPRODUCT(OFFSET(Mortality!$J34,0,0,Mortality!$C$7,1),Mortality!$C$6^(ROW(INDIRECT("1:"&amp;$E$9))-1))/Mortality!J34</f>
        <v>7.112281011234848</v>
      </c>
    </row>
    <row r="30" spans="1:8" ht="14.25" customHeight="1" x14ac:dyDescent="0.3">
      <c r="A30" s="14"/>
      <c r="B30" s="14"/>
      <c r="C30" s="14"/>
      <c r="D30" s="8">
        <v>41</v>
      </c>
      <c r="E30" s="8">
        <v>10</v>
      </c>
      <c r="F30" s="18">
        <f t="array" aca="1" ref="F30" ca="1">SUMPRODUCT(OFFSET(Mortality!$F35,0,0,'Annuity Factors'!$E$9,1),Mortality!$C$6^(ROW(INDIRECT("1:"&amp;$E$9))-1))/Mortality!F35</f>
        <v>7.0835303113681078</v>
      </c>
      <c r="G30" s="18">
        <f t="array" aca="1" ref="G30" ca="1">SUMPRODUCT(OFFSET(Mortality!$H35,0,0,Mortality!$C$7,1),Mortality!$C$6^(ROW(INDIRECT("1:"&amp;$E$9))-1))/Mortality!H35</f>
        <v>7.1155311809729032</v>
      </c>
      <c r="H30" s="18">
        <f t="array" aca="1" ref="H30" ca="1">SUMPRODUCT(OFFSET(Mortality!$J35,0,0,Mortality!$C$7,1),Mortality!$C$6^(ROW(INDIRECT("1:"&amp;$E$9))-1))/Mortality!J35</f>
        <v>7.0544256321798589</v>
      </c>
    </row>
    <row r="31" spans="1:8" ht="14.25" customHeight="1" x14ac:dyDescent="0.3">
      <c r="A31" s="14"/>
      <c r="B31" s="14"/>
      <c r="C31" s="14"/>
      <c r="D31" s="8">
        <v>42</v>
      </c>
      <c r="E31" s="8">
        <v>10</v>
      </c>
      <c r="F31" s="18">
        <f t="array" aca="1" ref="F31" ca="1">SUMPRODUCT(OFFSET(Mortality!$F36,0,0,'Annuity Factors'!$E$9,1),Mortality!$C$6^(ROW(INDIRECT("1:"&amp;$E$9))-1))/Mortality!F36</f>
        <v>7.0605977238046966</v>
      </c>
      <c r="G31" s="18">
        <f t="array" aca="1" ref="G31" ca="1">SUMPRODUCT(OFFSET(Mortality!$H36,0,0,Mortality!$C$7,1),Mortality!$C$6^(ROW(INDIRECT("1:"&amp;$E$9))-1))/Mortality!H36</f>
        <v>7.0597293254054803</v>
      </c>
      <c r="H31" s="18">
        <f t="array" aca="1" ref="H31" ca="1">SUMPRODUCT(OFFSET(Mortality!$J36,0,0,Mortality!$C$7,1),Mortality!$C$6^(ROW(INDIRECT("1:"&amp;$E$9))-1))/Mortality!J36</f>
        <v>6.9934105913810098</v>
      </c>
    </row>
    <row r="32" spans="1:8" ht="14.25" customHeight="1" x14ac:dyDescent="0.3">
      <c r="A32" s="14"/>
      <c r="B32" s="14"/>
      <c r="C32" s="14"/>
      <c r="D32" s="8">
        <v>43</v>
      </c>
      <c r="E32" s="8">
        <v>10</v>
      </c>
      <c r="F32" s="18">
        <f t="array" aca="1" ref="F32" ca="1">SUMPRODUCT(OFFSET(Mortality!$F37,0,0,'Annuity Factors'!$E$9,1),Mortality!$C$6^(ROW(INDIRECT("1:"&amp;$E$9))-1))/Mortality!F37</f>
        <v>6.9640672269472059</v>
      </c>
      <c r="G32" s="18">
        <f t="array" aca="1" ref="G32" ca="1">SUMPRODUCT(OFFSET(Mortality!$H37,0,0,Mortality!$C$7,1),Mortality!$C$6^(ROW(INDIRECT("1:"&amp;$E$9))-1))/Mortality!H37</f>
        <v>6.999529820095189</v>
      </c>
      <c r="H32" s="18">
        <f t="array" aca="1" ref="H32" ca="1">SUMPRODUCT(OFFSET(Mortality!$J37,0,0,Mortality!$C$7,1),Mortality!$C$6^(ROW(INDIRECT("1:"&amp;$E$9))-1))/Mortality!J37</f>
        <v>6.9291957246372169</v>
      </c>
    </row>
    <row r="33" spans="1:8" ht="14.25" customHeight="1" x14ac:dyDescent="0.3">
      <c r="A33" s="14"/>
      <c r="B33" s="14"/>
      <c r="C33" s="14"/>
      <c r="D33" s="8">
        <v>44</v>
      </c>
      <c r="E33" s="8">
        <v>10</v>
      </c>
      <c r="F33" s="18">
        <f t="array" aca="1" ref="F33" ca="1">SUMPRODUCT(OFFSET(Mortality!$F38,0,0,'Annuity Factors'!$E$9,1),Mortality!$C$6^(ROW(INDIRECT("1:"&amp;$E$9))-1))/Mortality!F38</f>
        <v>6.8910114585906612</v>
      </c>
      <c r="G33" s="18">
        <f t="array" aca="1" ref="G33" ca="1">SUMPRODUCT(OFFSET(Mortality!$H38,0,0,Mortality!$C$7,1),Mortality!$C$6^(ROW(INDIRECT("1:"&amp;$E$9))-1))/Mortality!H38</f>
        <v>6.9346683801172393</v>
      </c>
      <c r="H33" s="18">
        <f t="array" aca="1" ref="H33" ca="1">SUMPRODUCT(OFFSET(Mortality!$J38,0,0,Mortality!$C$7,1),Mortality!$C$6^(ROW(INDIRECT("1:"&amp;$E$9))-1))/Mortality!J38</f>
        <v>6.8618176253753767</v>
      </c>
    </row>
    <row r="34" spans="1:8" ht="14.25" customHeight="1" x14ac:dyDescent="0.3">
      <c r="A34" s="14"/>
      <c r="B34" s="14"/>
      <c r="C34" s="14"/>
      <c r="D34" s="8">
        <v>45</v>
      </c>
      <c r="E34" s="8">
        <v>10</v>
      </c>
      <c r="F34" s="18">
        <f t="array" aca="1" ref="F34" ca="1">SUMPRODUCT(OFFSET(Mortality!$F39,0,0,'Annuity Factors'!$E$9,1),Mortality!$C$6^(ROW(INDIRECT("1:"&amp;$E$9))-1))/Mortality!F39</f>
        <v>6.8210095144799023</v>
      </c>
      <c r="G34" s="18">
        <f t="array" aca="1" ref="G34" ca="1">SUMPRODUCT(OFFSET(Mortality!$H39,0,0,Mortality!$C$7,1),Mortality!$C$6^(ROW(INDIRECT("1:"&amp;$E$9))-1))/Mortality!H39</f>
        <v>6.864880226800687</v>
      </c>
      <c r="H34" s="18">
        <f t="array" aca="1" ref="H34" ca="1">SUMPRODUCT(OFFSET(Mortality!$J39,0,0,Mortality!$C$7,1),Mortality!$C$6^(ROW(INDIRECT("1:"&amp;$E$9))-1))/Mortality!J39</f>
        <v>6.7913609803760462</v>
      </c>
    </row>
    <row r="35" spans="1:8" ht="14.25" customHeight="1" x14ac:dyDescent="0.3">
      <c r="A35" s="14"/>
      <c r="B35" s="14"/>
      <c r="C35" s="14"/>
      <c r="D35" s="8">
        <v>46</v>
      </c>
      <c r="E35" s="8">
        <v>10</v>
      </c>
      <c r="F35" s="18">
        <f t="array" aca="1" ref="F35" ca="1">SUMPRODUCT(OFFSET(Mortality!$F40,0,0,'Annuity Factors'!$E$9,1),Mortality!$C$6^(ROW(INDIRECT("1:"&amp;$E$9))-1))/Mortality!F40</f>
        <v>6.9034633304674333</v>
      </c>
      <c r="G35" s="18">
        <f t="array" aca="1" ref="G35" ca="1">SUMPRODUCT(OFFSET(Mortality!$H40,0,0,Mortality!$C$7,1),Mortality!$C$6^(ROW(INDIRECT("1:"&amp;$E$9))-1))/Mortality!H40</f>
        <v>6.7899034765705979</v>
      </c>
      <c r="H35" s="18">
        <f t="array" aca="1" ref="H35" ca="1">SUMPRODUCT(OFFSET(Mortality!$J40,0,0,Mortality!$C$7,1),Mortality!$C$6^(ROW(INDIRECT("1:"&amp;$E$9))-1))/Mortality!J40</f>
        <v>6.7179360600042806</v>
      </c>
    </row>
    <row r="36" spans="1:8" ht="14.25" customHeight="1" x14ac:dyDescent="0.3">
      <c r="A36" s="14"/>
      <c r="B36" s="14"/>
      <c r="C36" s="14"/>
      <c r="D36" s="8">
        <v>47</v>
      </c>
      <c r="E36" s="8">
        <v>10</v>
      </c>
      <c r="F36" s="18">
        <f t="array" aca="1" ref="F36" ca="1">SUMPRODUCT(OFFSET(Mortality!$F41,0,0,'Annuity Factors'!$E$9,1),Mortality!$C$6^(ROW(INDIRECT("1:"&amp;$E$9))-1))/Mortality!F41</f>
        <v>6.7061114891478288</v>
      </c>
      <c r="G36" s="18">
        <f t="array" aca="1" ref="G36" ca="1">SUMPRODUCT(OFFSET(Mortality!$H41,0,0,Mortality!$C$7,1),Mortality!$C$6^(ROW(INDIRECT("1:"&amp;$E$9))-1))/Mortality!H41</f>
        <v>6.7094831770662884</v>
      </c>
      <c r="H36" s="18">
        <f t="array" aca="1" ref="H36" ca="1">SUMPRODUCT(OFFSET(Mortality!$J41,0,0,Mortality!$C$7,1),Mortality!$C$6^(ROW(INDIRECT("1:"&amp;$E$9))-1))/Mortality!J41</f>
        <v>6.6416969961564289</v>
      </c>
    </row>
    <row r="37" spans="1:8" ht="14.25" customHeight="1" x14ac:dyDescent="0.3">
      <c r="A37" s="14"/>
      <c r="B37" s="14"/>
      <c r="C37" s="14"/>
      <c r="D37" s="8">
        <v>48</v>
      </c>
      <c r="E37" s="8">
        <v>10</v>
      </c>
      <c r="F37" s="18">
        <f t="array" aca="1" ref="F37" ca="1">SUMPRODUCT(OFFSET(Mortality!$F42,0,0,'Annuity Factors'!$E$9,1),Mortality!$C$6^(ROW(INDIRECT("1:"&amp;$E$9))-1))/Mortality!F42</f>
        <v>6.6442262587541947</v>
      </c>
      <c r="G37" s="18">
        <f t="array" aca="1" ref="G37" ca="1">SUMPRODUCT(OFFSET(Mortality!$H42,0,0,Mortality!$C$7,1),Mortality!$C$6^(ROW(INDIRECT("1:"&amp;$E$9))-1))/Mortality!H42</f>
        <v>6.6233760357648856</v>
      </c>
      <c r="H37" s="18">
        <f t="array" aca="1" ref="H37" ca="1">SUMPRODUCT(OFFSET(Mortality!$J42,0,0,Mortality!$C$7,1),Mortality!$C$6^(ROW(INDIRECT("1:"&amp;$E$9))-1))/Mortality!J42</f>
        <v>6.5629250051711336</v>
      </c>
    </row>
    <row r="38" spans="1:8" ht="14.25" customHeight="1" x14ac:dyDescent="0.3">
      <c r="A38" s="14"/>
      <c r="B38" s="14"/>
      <c r="C38" s="14"/>
      <c r="D38" s="8">
        <v>49</v>
      </c>
      <c r="E38" s="8">
        <v>10</v>
      </c>
      <c r="F38" s="18">
        <f t="array" aca="1" ref="F38" ca="1">SUMPRODUCT(OFFSET(Mortality!$F43,0,0,'Annuity Factors'!$E$9,1),Mortality!$C$6^(ROW(INDIRECT("1:"&amp;$E$9))-1))/Mortality!F43</f>
        <v>6.6410237385694879</v>
      </c>
      <c r="G38" s="18">
        <f t="array" aca="1" ref="G38" ca="1">SUMPRODUCT(OFFSET(Mortality!$H43,0,0,Mortality!$C$7,1),Mortality!$C$6^(ROW(INDIRECT("1:"&amp;$E$9))-1))/Mortality!H43</f>
        <v>6.5313558723624041</v>
      </c>
      <c r="H38" s="18">
        <f t="array" aca="1" ref="H38" ca="1">SUMPRODUCT(OFFSET(Mortality!$J43,0,0,Mortality!$C$7,1),Mortality!$C$6^(ROW(INDIRECT("1:"&amp;$E$9))-1))/Mortality!J43</f>
        <v>6.4819678448215052</v>
      </c>
    </row>
    <row r="39" spans="1:8" ht="14.25" customHeight="1" x14ac:dyDescent="0.3">
      <c r="A39" s="14"/>
      <c r="B39" s="14"/>
      <c r="C39" s="14"/>
      <c r="D39" s="8">
        <v>50</v>
      </c>
      <c r="E39" s="8">
        <v>10</v>
      </c>
      <c r="F39" s="18">
        <f t="array" aca="1" ref="F39" ca="1">SUMPRODUCT(OFFSET(Mortality!$F44,0,0,'Annuity Factors'!$E$9,1),Mortality!$C$6^(ROW(INDIRECT("1:"&amp;$E$9))-1))/Mortality!F44</f>
        <v>6.4949107118328513</v>
      </c>
      <c r="G39" s="18">
        <f t="array" aca="1" ref="G39" ca="1">SUMPRODUCT(OFFSET(Mortality!$H44,0,0,Mortality!$C$7,1),Mortality!$C$6^(ROW(INDIRECT("1:"&amp;$E$9))-1))/Mortality!H44</f>
        <v>6.4332198057910821</v>
      </c>
      <c r="H39" s="18">
        <f t="array" aca="1" ref="H39" ca="1">SUMPRODUCT(OFFSET(Mortality!$J44,0,0,Mortality!$C$7,1),Mortality!$C$6^(ROW(INDIRECT("1:"&amp;$E$9))-1))/Mortality!J44</f>
        <v>6.399233473378553</v>
      </c>
    </row>
  </sheetData>
  <mergeCells count="1">
    <mergeCell ref="D7:H7"/>
  </mergeCell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2"/>
  <sheetViews>
    <sheetView zoomScaleNormal="100" workbookViewId="0">
      <selection activeCell="D8" sqref="D8:G8"/>
    </sheetView>
  </sheetViews>
  <sheetFormatPr defaultColWidth="8.6640625" defaultRowHeight="14.4" x14ac:dyDescent="0.3"/>
  <cols>
    <col min="4" max="4" width="7" customWidth="1"/>
    <col min="5" max="5" width="16" customWidth="1"/>
    <col min="6" max="6" width="20" customWidth="1"/>
    <col min="7" max="7" width="18" customWidth="1"/>
  </cols>
  <sheetData>
    <row r="1" spans="1:7" ht="14.25" customHeight="1" x14ac:dyDescent="0.3">
      <c r="A1" s="14"/>
      <c r="B1" s="14"/>
      <c r="C1" s="14"/>
      <c r="D1" s="14"/>
      <c r="E1" s="14"/>
      <c r="F1" s="14"/>
      <c r="G1" s="14"/>
    </row>
    <row r="2" spans="1:7" ht="14.25" customHeight="1" x14ac:dyDescent="0.3">
      <c r="A2" s="14"/>
      <c r="B2" s="14"/>
      <c r="C2" s="14"/>
      <c r="D2" s="14"/>
      <c r="E2" s="14"/>
      <c r="F2" s="14"/>
      <c r="G2" s="14"/>
    </row>
    <row r="3" spans="1:7" ht="14.25" customHeight="1" x14ac:dyDescent="0.3">
      <c r="A3" s="14"/>
      <c r="B3" s="14"/>
      <c r="C3" s="14"/>
      <c r="D3" s="14"/>
      <c r="E3" s="14"/>
      <c r="F3" s="14"/>
      <c r="G3" s="14"/>
    </row>
    <row r="4" spans="1:7" ht="14.25" customHeight="1" x14ac:dyDescent="0.3">
      <c r="A4" s="14"/>
      <c r="B4" s="14"/>
      <c r="C4" s="14"/>
      <c r="D4" s="14"/>
      <c r="E4" s="14"/>
      <c r="F4" s="14"/>
      <c r="G4" s="14"/>
    </row>
    <row r="5" spans="1:7" ht="14.25" customHeight="1" x14ac:dyDescent="0.3">
      <c r="A5" s="14"/>
      <c r="B5" s="14"/>
      <c r="C5" s="14"/>
      <c r="D5" s="14"/>
      <c r="E5" s="14"/>
      <c r="F5" s="14"/>
      <c r="G5" s="14"/>
    </row>
    <row r="6" spans="1:7" ht="14.25" customHeight="1" x14ac:dyDescent="0.3">
      <c r="A6" s="14"/>
      <c r="B6" s="14"/>
      <c r="C6" s="14"/>
      <c r="D6" s="14"/>
      <c r="E6" s="14"/>
      <c r="F6" s="14"/>
      <c r="G6" s="14"/>
    </row>
    <row r="7" spans="1:7" ht="14.25" customHeight="1" x14ac:dyDescent="0.3">
      <c r="A7" s="14"/>
      <c r="B7" s="14"/>
      <c r="C7" s="14"/>
      <c r="D7" s="14"/>
      <c r="E7" s="14"/>
      <c r="F7" s="14"/>
      <c r="G7" s="14"/>
    </row>
    <row r="8" spans="1:7" ht="15.75" customHeight="1" x14ac:dyDescent="0.3">
      <c r="A8" s="14"/>
      <c r="B8" s="14"/>
      <c r="C8" s="14"/>
      <c r="D8" s="6" t="s">
        <v>35</v>
      </c>
      <c r="E8" s="6"/>
      <c r="F8" s="6"/>
      <c r="G8" s="6"/>
    </row>
    <row r="9" spans="1:7" ht="23.25" customHeight="1" x14ac:dyDescent="0.3">
      <c r="A9" s="14"/>
      <c r="B9" s="14"/>
      <c r="C9" s="14"/>
      <c r="D9" s="7" t="s">
        <v>25</v>
      </c>
      <c r="E9" s="7" t="s">
        <v>36</v>
      </c>
      <c r="F9" s="7" t="s">
        <v>37</v>
      </c>
      <c r="G9" s="7" t="s">
        <v>38</v>
      </c>
    </row>
    <row r="10" spans="1:7" ht="14.25" customHeight="1" x14ac:dyDescent="0.3">
      <c r="A10" s="14"/>
      <c r="B10" s="14"/>
      <c r="C10" s="14"/>
      <c r="D10" s="14"/>
      <c r="E10" s="14"/>
      <c r="F10" s="14"/>
      <c r="G10" s="14"/>
    </row>
    <row r="11" spans="1:7" ht="14.25" customHeight="1" x14ac:dyDescent="0.3">
      <c r="A11" s="14"/>
      <c r="B11" s="14"/>
      <c r="C11" s="14"/>
      <c r="D11" s="8">
        <v>20</v>
      </c>
      <c r="E11" s="21">
        <f ca="1">Mortality!$C$4*'Assurance Factors'!E9</f>
        <v>5395.4461849673271</v>
      </c>
      <c r="F11" s="21">
        <f ca="1">Mortality!$C$4*'Assurance Factors'!F9</f>
        <v>5338.9192179654783</v>
      </c>
      <c r="G11" s="21">
        <f ca="1">Mortality!$C$4*'Assurance Factors'!G9</f>
        <v>5216.2925669706719</v>
      </c>
    </row>
    <row r="12" spans="1:7" ht="14.25" customHeight="1" x14ac:dyDescent="0.3">
      <c r="A12" s="14"/>
      <c r="B12" s="14"/>
      <c r="C12" s="14"/>
      <c r="D12" s="8">
        <v>21</v>
      </c>
      <c r="E12" s="21">
        <f ca="1">Mortality!$C$4*'Assurance Factors'!E10</f>
        <v>5613.1419977182313</v>
      </c>
      <c r="F12" s="21">
        <f ca="1">Mortality!$C$4*'Assurance Factors'!F10</f>
        <v>5462.8802297746588</v>
      </c>
      <c r="G12" s="21">
        <f ca="1">Mortality!$C$4*'Assurance Factors'!G10</f>
        <v>5316.364488600314</v>
      </c>
    </row>
    <row r="13" spans="1:7" ht="14.25" customHeight="1" x14ac:dyDescent="0.3">
      <c r="A13" s="14"/>
      <c r="B13" s="14"/>
      <c r="C13" s="14"/>
      <c r="D13" s="8">
        <v>22</v>
      </c>
      <c r="E13" s="21">
        <f ca="1">Mortality!$C$4*'Assurance Factors'!E11</f>
        <v>5375.892988397185</v>
      </c>
      <c r="F13" s="21">
        <f ca="1">Mortality!$C$4*'Assurance Factors'!F11</f>
        <v>5597.9939486059939</v>
      </c>
      <c r="G13" s="21">
        <f ca="1">Mortality!$C$4*'Assurance Factors'!G11</f>
        <v>5433.0936527121394</v>
      </c>
    </row>
    <row r="14" spans="1:7" ht="14.25" customHeight="1" x14ac:dyDescent="0.3">
      <c r="A14" s="14"/>
      <c r="B14" s="14"/>
      <c r="C14" s="14"/>
      <c r="D14" s="8">
        <v>23</v>
      </c>
      <c r="E14" s="21">
        <f ca="1">Mortality!$C$4*'Assurance Factors'!E12</f>
        <v>5345.3678298338164</v>
      </c>
      <c r="F14" s="21">
        <f ca="1">Mortality!$C$4*'Assurance Factors'!F12</f>
        <v>5745.2130982700664</v>
      </c>
      <c r="G14" s="21">
        <f ca="1">Mortality!$C$4*'Assurance Factors'!G12</f>
        <v>5568.8862062040362</v>
      </c>
    </row>
    <row r="15" spans="1:7" ht="14.25" customHeight="1" x14ac:dyDescent="0.3">
      <c r="A15" s="14"/>
      <c r="B15" s="14"/>
      <c r="C15" s="14"/>
      <c r="D15" s="8">
        <v>24</v>
      </c>
      <c r="E15" s="21">
        <f ca="1">Mortality!$C$4*'Assurance Factors'!E13</f>
        <v>5760.7199467640439</v>
      </c>
      <c r="F15" s="21">
        <f ca="1">Mortality!$C$4*'Assurance Factors'!F13</f>
        <v>5905.561894718483</v>
      </c>
      <c r="G15" s="21">
        <f ca="1">Mortality!$C$4*'Assurance Factors'!G13</f>
        <v>5725.7172771348032</v>
      </c>
    </row>
    <row r="16" spans="1:7" ht="14.25" customHeight="1" x14ac:dyDescent="0.3">
      <c r="A16" s="14"/>
      <c r="B16" s="14"/>
      <c r="C16" s="14"/>
      <c r="D16" s="8">
        <v>25</v>
      </c>
      <c r="E16" s="21">
        <f ca="1">Mortality!$C$4*'Assurance Factors'!E14</f>
        <v>5938.1494102541164</v>
      </c>
      <c r="F16" s="21">
        <f ca="1">Mortality!$C$4*'Assurance Factors'!F14</f>
        <v>6080.1394333541784</v>
      </c>
      <c r="G16" s="21">
        <f ca="1">Mortality!$C$4*'Assurance Factors'!G14</f>
        <v>5904.8343172923596</v>
      </c>
    </row>
    <row r="17" spans="1:7" ht="14.25" customHeight="1" x14ac:dyDescent="0.3">
      <c r="A17" s="14"/>
      <c r="B17" s="14"/>
      <c r="C17" s="14"/>
      <c r="D17" s="8">
        <v>26</v>
      </c>
      <c r="E17" s="21">
        <f ca="1">Mortality!$C$4*'Assurance Factors'!E15</f>
        <v>6171.2670943891771</v>
      </c>
      <c r="F17" s="21">
        <f ca="1">Mortality!$C$4*'Assurance Factors'!F15</f>
        <v>6270.1228044660602</v>
      </c>
      <c r="G17" s="21">
        <f ca="1">Mortality!$C$4*'Assurance Factors'!G15</f>
        <v>6107.2751844712766</v>
      </c>
    </row>
    <row r="18" spans="1:7" ht="14.25" customHeight="1" x14ac:dyDescent="0.3">
      <c r="A18" s="14"/>
      <c r="B18" s="14"/>
      <c r="C18" s="14"/>
      <c r="D18" s="8">
        <v>27</v>
      </c>
      <c r="E18" s="21">
        <f ca="1">Mortality!$C$4*'Assurance Factors'!E16</f>
        <v>6355.0721168679465</v>
      </c>
      <c r="F18" s="21">
        <f ca="1">Mortality!$C$4*'Assurance Factors'!F16</f>
        <v>6476.7698142817017</v>
      </c>
      <c r="G18" s="21">
        <f ca="1">Mortality!$C$4*'Assurance Factors'!G16</f>
        <v>6334.2367485937912</v>
      </c>
    </row>
    <row r="19" spans="1:7" ht="14.25" customHeight="1" x14ac:dyDescent="0.3">
      <c r="A19" s="14"/>
      <c r="B19" s="14"/>
      <c r="C19" s="14"/>
      <c r="D19" s="8">
        <v>28</v>
      </c>
      <c r="E19" s="21">
        <f ca="1">Mortality!$C$4*'Assurance Factors'!E17</f>
        <v>6784.0497076683787</v>
      </c>
      <c r="F19" s="21">
        <f ca="1">Mortality!$C$4*'Assurance Factors'!F17</f>
        <v>6701.4211640461754</v>
      </c>
      <c r="G19" s="21">
        <f ca="1">Mortality!$C$4*'Assurance Factors'!G17</f>
        <v>6587.1275192180365</v>
      </c>
    </row>
    <row r="20" spans="1:7" ht="14.25" customHeight="1" x14ac:dyDescent="0.3">
      <c r="A20" s="14"/>
      <c r="B20" s="14"/>
      <c r="C20" s="14"/>
      <c r="D20" s="8">
        <v>29</v>
      </c>
      <c r="E20" s="21">
        <f ca="1">Mortality!$C$4*'Assurance Factors'!E18</f>
        <v>6984.2561616790454</v>
      </c>
      <c r="F20" s="21">
        <f ca="1">Mortality!$C$4*'Assurance Factors'!F18</f>
        <v>6945.5019109474579</v>
      </c>
      <c r="G20" s="21">
        <f ca="1">Mortality!$C$4*'Assurance Factors'!G18</f>
        <v>6867.5953543520227</v>
      </c>
    </row>
    <row r="21" spans="1:7" ht="14.25" customHeight="1" x14ac:dyDescent="0.3">
      <c r="A21" s="14"/>
      <c r="B21" s="14"/>
      <c r="C21" s="14"/>
      <c r="D21" s="8">
        <v>30</v>
      </c>
      <c r="E21" s="21">
        <f ca="1">Mortality!$C$4*'Assurance Factors'!E19</f>
        <v>6843.3629168239268</v>
      </c>
      <c r="F21" s="21">
        <f ca="1">Mortality!$C$4*'Assurance Factors'!F19</f>
        <v>7210.522002465269</v>
      </c>
      <c r="G21" s="21">
        <f ca="1">Mortality!$C$4*'Assurance Factors'!G19</f>
        <v>7177.6756925618429</v>
      </c>
    </row>
    <row r="22" spans="1:7" ht="14.25" customHeight="1" x14ac:dyDescent="0.3">
      <c r="A22" s="14"/>
      <c r="B22" s="14"/>
      <c r="C22" s="14"/>
      <c r="D22" s="8">
        <v>31</v>
      </c>
      <c r="E22" s="21">
        <f ca="1">Mortality!$C$4*'Assurance Factors'!E20</f>
        <v>7088.5549441072253</v>
      </c>
      <c r="F22" s="21">
        <f ca="1">Mortality!$C$4*'Assurance Factors'!F20</f>
        <v>7498.0756397824898</v>
      </c>
      <c r="G22" s="21">
        <f ca="1">Mortality!$C$4*'Assurance Factors'!G20</f>
        <v>7519.5701248418245</v>
      </c>
    </row>
    <row r="23" spans="1:7" ht="14.25" customHeight="1" x14ac:dyDescent="0.3">
      <c r="A23" s="14"/>
      <c r="B23" s="14"/>
      <c r="C23" s="14"/>
      <c r="D23" s="8">
        <v>32</v>
      </c>
      <c r="E23" s="21">
        <f ca="1">Mortality!$C$4*'Assurance Factors'!E21</f>
        <v>7715.229502291354</v>
      </c>
      <c r="F23" s="21">
        <f ca="1">Mortality!$C$4*'Assurance Factors'!F21</f>
        <v>7809.8391863971747</v>
      </c>
      <c r="G23" s="21">
        <f ca="1">Mortality!$C$4*'Assurance Factors'!G21</f>
        <v>7894.8010753008684</v>
      </c>
    </row>
    <row r="24" spans="1:7" ht="14.25" customHeight="1" x14ac:dyDescent="0.3">
      <c r="A24" s="14"/>
      <c r="B24" s="14"/>
      <c r="C24" s="14"/>
      <c r="D24" s="8">
        <v>33</v>
      </c>
      <c r="E24" s="21">
        <f ca="1">Mortality!$C$4*'Assurance Factors'!E22</f>
        <v>8234.4331413201762</v>
      </c>
      <c r="F24" s="21">
        <f ca="1">Mortality!$C$4*'Assurance Factors'!F22</f>
        <v>8147.5672953821158</v>
      </c>
      <c r="G24" s="21">
        <f ca="1">Mortality!$C$4*'Assurance Factors'!G22</f>
        <v>8303.8079779125492</v>
      </c>
    </row>
    <row r="25" spans="1:7" ht="14.25" customHeight="1" x14ac:dyDescent="0.3">
      <c r="A25" s="14"/>
      <c r="B25" s="14"/>
      <c r="C25" s="14"/>
      <c r="D25" s="8">
        <v>34</v>
      </c>
      <c r="E25" s="21">
        <f ca="1">Mortality!$C$4*'Assurance Factors'!E23</f>
        <v>8458.5306341628711</v>
      </c>
      <c r="F25" s="21">
        <f ca="1">Mortality!$C$4*'Assurance Factors'!F23</f>
        <v>8513.086883557884</v>
      </c>
      <c r="G25" s="21">
        <f ca="1">Mortality!$C$4*'Assurance Factors'!G23</f>
        <v>8746.2851514618797</v>
      </c>
    </row>
    <row r="26" spans="1:7" ht="14.25" customHeight="1" x14ac:dyDescent="0.3">
      <c r="A26" s="14"/>
      <c r="B26" s="14"/>
      <c r="C26" s="14"/>
      <c r="D26" s="8">
        <v>35</v>
      </c>
      <c r="E26" s="21">
        <f ca="1">Mortality!$C$4*'Assurance Factors'!E24</f>
        <v>9351.6935503013246</v>
      </c>
      <c r="F26" s="21">
        <f ca="1">Mortality!$C$4*'Assurance Factors'!F24</f>
        <v>8908.2885343143262</v>
      </c>
      <c r="G26" s="21">
        <f ca="1">Mortality!$C$4*'Assurance Factors'!G24</f>
        <v>9221.4660923795655</v>
      </c>
    </row>
    <row r="27" spans="1:7" ht="14.25" customHeight="1" x14ac:dyDescent="0.3">
      <c r="A27" s="14"/>
      <c r="B27" s="14"/>
      <c r="C27" s="14"/>
      <c r="D27" s="8">
        <v>36</v>
      </c>
      <c r="E27" s="21">
        <f ca="1">Mortality!$C$4*'Assurance Factors'!E25</f>
        <v>10267.116423560215</v>
      </c>
      <c r="F27" s="21">
        <f ca="1">Mortality!$C$4*'Assurance Factors'!F25</f>
        <v>9335.1148646432939</v>
      </c>
      <c r="G27" s="21">
        <f ca="1">Mortality!$C$4*'Assurance Factors'!G25</f>
        <v>9728.103195193069</v>
      </c>
    </row>
    <row r="28" spans="1:7" ht="14.25" customHeight="1" x14ac:dyDescent="0.3">
      <c r="A28" s="14"/>
      <c r="B28" s="14"/>
      <c r="C28" s="14"/>
      <c r="D28" s="8">
        <v>37</v>
      </c>
      <c r="E28" s="21">
        <f ca="1">Mortality!$C$4*'Assurance Factors'!E26</f>
        <v>10489.060847631799</v>
      </c>
      <c r="F28" s="21">
        <f ca="1">Mortality!$C$4*'Assurance Factors'!F26</f>
        <v>9795.5453485642811</v>
      </c>
      <c r="G28" s="21">
        <f ca="1">Mortality!$C$4*'Assurance Factors'!G26</f>
        <v>10265.035076011505</v>
      </c>
    </row>
    <row r="29" spans="1:7" ht="14.25" customHeight="1" x14ac:dyDescent="0.3">
      <c r="A29" s="14"/>
      <c r="B29" s="14"/>
      <c r="C29" s="14"/>
      <c r="D29" s="8">
        <v>38</v>
      </c>
      <c r="E29" s="21">
        <f ca="1">Mortality!$C$4*'Assurance Factors'!E27</f>
        <v>10773.147609814887</v>
      </c>
      <c r="F29" s="21">
        <f ca="1">Mortality!$C$4*'Assurance Factors'!F27</f>
        <v>10291.577051866438</v>
      </c>
      <c r="G29" s="21">
        <f ca="1">Mortality!$C$4*'Assurance Factors'!G27</f>
        <v>10831.514559349955</v>
      </c>
    </row>
    <row r="30" spans="1:7" ht="14.25" customHeight="1" x14ac:dyDescent="0.3">
      <c r="A30" s="14"/>
      <c r="B30" s="14"/>
      <c r="C30" s="14"/>
      <c r="D30" s="8">
        <v>39</v>
      </c>
      <c r="E30" s="21">
        <f ca="1">Mortality!$C$4*'Assurance Factors'!E28</f>
        <v>11721.947493214268</v>
      </c>
      <c r="F30" s="21">
        <f ca="1">Mortality!$C$4*'Assurance Factors'!F28</f>
        <v>10825.200706378331</v>
      </c>
      <c r="G30" s="21">
        <f ca="1">Mortality!$C$4*'Assurance Factors'!G28</f>
        <v>11427.012971761636</v>
      </c>
    </row>
    <row r="31" spans="1:7" ht="14.25" customHeight="1" x14ac:dyDescent="0.3">
      <c r="A31" s="14"/>
      <c r="B31" s="14"/>
      <c r="C31" s="14"/>
      <c r="D31" s="8">
        <v>40</v>
      </c>
      <c r="E31" s="21">
        <f ca="1">Mortality!$C$4*'Assurance Factors'!E29</f>
        <v>12057.080749811186</v>
      </c>
      <c r="F31" s="21">
        <f ca="1">Mortality!$C$4*'Assurance Factors'!F29</f>
        <v>11398.371541523089</v>
      </c>
      <c r="G31" s="21">
        <f ca="1">Mortality!$C$4*'Assurance Factors'!G29</f>
        <v>12050.930142030844</v>
      </c>
    </row>
    <row r="32" spans="1:7" ht="14.25" customHeight="1" x14ac:dyDescent="0.3">
      <c r="A32" s="14"/>
      <c r="B32" s="14"/>
      <c r="C32" s="14"/>
      <c r="D32" s="8">
        <v>41</v>
      </c>
      <c r="E32" s="21">
        <f ca="1">Mortality!$C$4*'Assurance Factors'!E30</f>
        <v>11778.251642474612</v>
      </c>
      <c r="F32" s="21">
        <f ca="1">Mortality!$C$4*'Assurance Factors'!F30</f>
        <v>12012.974303910396</v>
      </c>
      <c r="G32" s="21">
        <f ca="1">Mortality!$C$4*'Assurance Factors'!G30</f>
        <v>12702.75789383982</v>
      </c>
    </row>
    <row r="33" spans="1:7" ht="14.25" customHeight="1" x14ac:dyDescent="0.3">
      <c r="A33" s="14"/>
      <c r="B33" s="14"/>
      <c r="C33" s="14"/>
      <c r="D33" s="8">
        <v>42</v>
      </c>
      <c r="E33" s="21">
        <f ca="1">Mortality!$C$4*'Assurance Factors'!E31</f>
        <v>12696.149196156772</v>
      </c>
      <c r="F33" s="21">
        <f ca="1">Mortality!$C$4*'Assurance Factors'!F31</f>
        <v>12670.781940974415</v>
      </c>
      <c r="G33" s="21">
        <f ca="1">Mortality!$C$4*'Assurance Factors'!G31</f>
        <v>13381.806231307903</v>
      </c>
    </row>
    <row r="34" spans="1:7" ht="14.25" customHeight="1" x14ac:dyDescent="0.3">
      <c r="A34" s="14"/>
      <c r="B34" s="14"/>
      <c r="C34" s="14"/>
      <c r="D34" s="8">
        <v>43</v>
      </c>
      <c r="E34" s="21">
        <f ca="1">Mortality!$C$4*'Assurance Factors'!E32</f>
        <v>12948.198796303925</v>
      </c>
      <c r="F34" s="21">
        <f ca="1">Mortality!$C$4*'Assurance Factors'!F32</f>
        <v>13373.407512700614</v>
      </c>
      <c r="G34" s="21">
        <f ca="1">Mortality!$C$4*'Assurance Factors'!G32</f>
        <v>14086.555736439244</v>
      </c>
    </row>
    <row r="35" spans="1:7" ht="14.25" customHeight="1" x14ac:dyDescent="0.3">
      <c r="A35" s="14"/>
      <c r="B35" s="14"/>
      <c r="C35" s="14"/>
      <c r="D35" s="8">
        <v>44</v>
      </c>
      <c r="E35" s="21">
        <f ca="1">Mortality!$C$4*'Assurance Factors'!E33</f>
        <v>14269.142063333953</v>
      </c>
      <c r="F35" s="21">
        <f ca="1">Mortality!$C$4*'Assurance Factors'!F33</f>
        <v>14122.249038444628</v>
      </c>
      <c r="G35" s="21">
        <f ca="1">Mortality!$C$4*'Assurance Factors'!G33</f>
        <v>14814.625658348932</v>
      </c>
    </row>
    <row r="36" spans="1:7" ht="14.25" customHeight="1" x14ac:dyDescent="0.3">
      <c r="A36" s="14"/>
      <c r="B36" s="14"/>
      <c r="C36" s="14"/>
      <c r="D36" s="8">
        <v>45</v>
      </c>
      <c r="E36" s="21">
        <f ca="1">Mortality!$C$4*'Assurance Factors'!E34</f>
        <v>15615.51360450876</v>
      </c>
      <c r="F36" s="21">
        <f ca="1">Mortality!$C$4*'Assurance Factors'!F34</f>
        <v>14918.427197245754</v>
      </c>
      <c r="G36" s="21">
        <f ca="1">Mortality!$C$4*'Assurance Factors'!G34</f>
        <v>15562.837087098183</v>
      </c>
    </row>
    <row r="37" spans="1:7" ht="14.25" customHeight="1" x14ac:dyDescent="0.3">
      <c r="A37" s="14"/>
      <c r="B37" s="14"/>
      <c r="C37" s="14"/>
      <c r="D37" s="8">
        <v>46</v>
      </c>
      <c r="E37" s="21">
        <f ca="1">Mortality!$C$4*'Assurance Factors'!E35</f>
        <v>15399.680997171563</v>
      </c>
      <c r="F37" s="21">
        <f ca="1">Mortality!$C$4*'Assurance Factors'!F35</f>
        <v>15762.716094178741</v>
      </c>
      <c r="G37" s="21">
        <f ca="1">Mortality!$C$4*'Assurance Factors'!G35</f>
        <v>16327.673217378395</v>
      </c>
    </row>
    <row r="38" spans="1:7" ht="14.25" customHeight="1" x14ac:dyDescent="0.3">
      <c r="A38" s="14"/>
      <c r="B38" s="14"/>
      <c r="C38" s="14"/>
      <c r="D38" s="8">
        <v>47</v>
      </c>
      <c r="E38" s="21">
        <f ca="1">Mortality!$C$4*'Assurance Factors'!E36</f>
        <v>16548.016270827113</v>
      </c>
      <c r="F38" s="21">
        <f ca="1">Mortality!$C$4*'Assurance Factors'!F36</f>
        <v>16655.467696262651</v>
      </c>
      <c r="G38" s="21">
        <f ca="1">Mortality!$C$4*'Assurance Factors'!G36</f>
        <v>17105.546888577246</v>
      </c>
    </row>
    <row r="39" spans="1:7" ht="14.25" customHeight="1" x14ac:dyDescent="0.3">
      <c r="A39" s="14"/>
      <c r="B39" s="14"/>
      <c r="C39" s="14"/>
      <c r="D39" s="8">
        <v>48</v>
      </c>
      <c r="E39" s="21">
        <f ca="1">Mortality!$C$4*'Assurance Factors'!E37</f>
        <v>16974.693178335525</v>
      </c>
      <c r="F39" s="21">
        <f ca="1">Mortality!$C$4*'Assurance Factors'!F37</f>
        <v>17596.531041586499</v>
      </c>
      <c r="G39" s="21">
        <f ca="1">Mortality!$C$4*'Assurance Factors'!G37</f>
        <v>17892.379865831601</v>
      </c>
    </row>
    <row r="40" spans="1:7" ht="14.25" customHeight="1" x14ac:dyDescent="0.3">
      <c r="A40" s="14"/>
      <c r="B40" s="14"/>
      <c r="C40" s="14"/>
      <c r="D40" s="8">
        <v>49</v>
      </c>
      <c r="E40" s="21">
        <f ca="1">Mortality!$C$4*'Assurance Factors'!E38</f>
        <v>17717.290434074097</v>
      </c>
      <c r="F40" s="21">
        <f ca="1">Mortality!$C$4*'Assurance Factors'!F38</f>
        <v>18585.167942947912</v>
      </c>
      <c r="G40" s="21">
        <f ca="1">Mortality!$C$4*'Assurance Factors'!G38</f>
        <v>18683.834804824699</v>
      </c>
    </row>
    <row r="41" spans="1:7" ht="14.25" customHeight="1" x14ac:dyDescent="0.3">
      <c r="A41" s="14"/>
      <c r="B41" s="14"/>
      <c r="C41" s="14"/>
      <c r="D41" s="8">
        <v>50</v>
      </c>
      <c r="E41" s="21">
        <f ca="1">Mortality!$C$4*'Assurance Factors'!E39</f>
        <v>19035.08328971162</v>
      </c>
      <c r="F41" s="21">
        <f ca="1">Mortality!$C$4*'Assurance Factors'!F39</f>
        <v>19619.967643708664</v>
      </c>
      <c r="G41" s="21">
        <f ca="1">Mortality!$C$4*'Assurance Factors'!G39</f>
        <v>19475.318021904663</v>
      </c>
    </row>
    <row r="42" spans="1:7" ht="14.25" customHeight="1" x14ac:dyDescent="0.3">
      <c r="A42" s="14"/>
      <c r="B42" s="14"/>
      <c r="C42" s="14"/>
      <c r="D42" s="14"/>
      <c r="E42" s="22"/>
      <c r="F42" s="14"/>
      <c r="G42" s="14"/>
    </row>
  </sheetData>
  <mergeCells count="1">
    <mergeCell ref="D8:G8"/>
  </mergeCell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1"/>
  <sheetViews>
    <sheetView topLeftCell="B42" zoomScaleNormal="100" workbookViewId="0">
      <selection activeCell="E9" sqref="E9"/>
    </sheetView>
  </sheetViews>
  <sheetFormatPr defaultColWidth="8.6640625" defaultRowHeight="14.4" x14ac:dyDescent="0.3"/>
  <cols>
    <col min="5" max="6" width="7" customWidth="1"/>
    <col min="7" max="7" width="20" customWidth="1"/>
    <col min="8" max="8" width="18" customWidth="1"/>
  </cols>
  <sheetData>
    <row r="1" spans="1:8" ht="14.25" customHeight="1" x14ac:dyDescent="0.3">
      <c r="A1" s="14"/>
      <c r="B1" s="14"/>
      <c r="C1" s="14"/>
      <c r="D1" s="14"/>
      <c r="E1" s="14"/>
      <c r="F1" s="14"/>
      <c r="G1" s="14"/>
      <c r="H1" s="14"/>
    </row>
    <row r="2" spans="1:8" ht="14.25" customHeight="1" x14ac:dyDescent="0.3">
      <c r="A2" s="14"/>
      <c r="B2" s="14"/>
      <c r="C2" s="14"/>
      <c r="D2" s="14"/>
      <c r="E2" s="14"/>
      <c r="F2" s="14"/>
      <c r="G2" s="14"/>
      <c r="H2" s="14"/>
    </row>
    <row r="3" spans="1:8" ht="14.25" customHeight="1" x14ac:dyDescent="0.3">
      <c r="A3" s="14"/>
      <c r="B3" s="14"/>
      <c r="C3" s="14"/>
      <c r="D3" s="14"/>
      <c r="E3" s="14"/>
      <c r="F3" s="14"/>
      <c r="G3" s="14"/>
      <c r="H3" s="14"/>
    </row>
    <row r="4" spans="1:8" ht="14.25" customHeight="1" x14ac:dyDescent="0.3">
      <c r="A4" s="14"/>
      <c r="B4" s="14"/>
      <c r="C4" s="14"/>
      <c r="D4" s="14"/>
      <c r="E4" s="14"/>
      <c r="F4" s="14"/>
      <c r="G4" s="14"/>
      <c r="H4" s="14"/>
    </row>
    <row r="5" spans="1:8" ht="14.25" customHeight="1" x14ac:dyDescent="0.3">
      <c r="A5" s="14"/>
      <c r="B5" s="14"/>
      <c r="C5" s="14"/>
      <c r="D5" s="14"/>
      <c r="E5" s="14"/>
      <c r="F5" s="14"/>
      <c r="G5" s="14"/>
      <c r="H5" s="14"/>
    </row>
    <row r="6" spans="1:8" ht="14.25" customHeight="1" x14ac:dyDescent="0.3">
      <c r="A6" s="14"/>
      <c r="B6" s="14"/>
      <c r="C6" s="14"/>
      <c r="D6" s="14"/>
      <c r="E6" s="14"/>
      <c r="F6" s="14"/>
      <c r="G6" s="14"/>
      <c r="H6" s="14"/>
    </row>
    <row r="7" spans="1:8" ht="14.25" customHeight="1" x14ac:dyDescent="0.3">
      <c r="A7" s="14"/>
      <c r="B7" s="14"/>
      <c r="C7" s="14"/>
      <c r="D7" s="14"/>
      <c r="E7" s="14"/>
      <c r="F7" s="14"/>
      <c r="G7" s="14"/>
      <c r="H7" s="14"/>
    </row>
    <row r="8" spans="1:8" ht="15.75" customHeight="1" x14ac:dyDescent="0.3">
      <c r="A8" s="14"/>
      <c r="B8" s="14"/>
      <c r="C8" s="14"/>
      <c r="D8" s="14"/>
      <c r="E8" s="6" t="s">
        <v>39</v>
      </c>
      <c r="F8" s="6"/>
      <c r="G8" s="6"/>
      <c r="H8" s="6"/>
    </row>
    <row r="9" spans="1:8" ht="23.25" customHeight="1" x14ac:dyDescent="0.3">
      <c r="A9" s="14"/>
      <c r="B9" s="14"/>
      <c r="C9" s="14"/>
      <c r="D9" s="14"/>
      <c r="E9" s="7" t="s">
        <v>25</v>
      </c>
      <c r="F9" s="7" t="s">
        <v>36</v>
      </c>
      <c r="G9" s="7" t="s">
        <v>37</v>
      </c>
      <c r="H9" s="7" t="s">
        <v>38</v>
      </c>
    </row>
    <row r="10" spans="1:8" ht="14.25" customHeight="1" x14ac:dyDescent="0.3">
      <c r="A10" s="14"/>
      <c r="B10" s="14"/>
      <c r="C10" s="14"/>
      <c r="D10" s="14"/>
      <c r="E10" s="14"/>
      <c r="F10" s="14"/>
      <c r="G10" s="14"/>
      <c r="H10" s="14"/>
    </row>
    <row r="11" spans="1:8" ht="14.25" customHeight="1" x14ac:dyDescent="0.3">
      <c r="A11" s="14"/>
      <c r="B11" s="14"/>
      <c r="C11" s="14"/>
      <c r="D11" s="14"/>
      <c r="E11" s="8">
        <v>20</v>
      </c>
      <c r="F11" s="21">
        <f ca="1">'EPV of Benefits'!E11/'Annuity Factors'!F9</f>
        <v>704.54676093908984</v>
      </c>
      <c r="G11" s="21">
        <f ca="1">'EPV of Benefits'!F11/'Annuity Factors'!G9</f>
        <v>697.46153280424437</v>
      </c>
      <c r="H11" s="21">
        <f ca="1">'EPV of Benefits'!G11/'Annuity Factors'!H9</f>
        <v>680.76380080931676</v>
      </c>
    </row>
    <row r="12" spans="1:8" ht="14.25" customHeight="1" x14ac:dyDescent="0.3">
      <c r="A12" s="14"/>
      <c r="B12" s="14"/>
      <c r="C12" s="14"/>
      <c r="D12" s="14"/>
      <c r="E12" s="8">
        <v>21</v>
      </c>
      <c r="F12" s="21">
        <f ca="1">'EPV of Benefits'!E12/'Annuity Factors'!F10</f>
        <v>732.17244408853674</v>
      </c>
      <c r="G12" s="21">
        <f ca="1">'EPV of Benefits'!F12/'Annuity Factors'!G10</f>
        <v>714.55303412902083</v>
      </c>
      <c r="H12" s="21">
        <f ca="1">'EPV of Benefits'!G12/'Annuity Factors'!H10</f>
        <v>694.40074882603403</v>
      </c>
    </row>
    <row r="13" spans="1:8" ht="14.25" customHeight="1" x14ac:dyDescent="0.3">
      <c r="A13" s="14"/>
      <c r="B13" s="14"/>
      <c r="C13" s="14"/>
      <c r="D13" s="14"/>
      <c r="E13" s="8">
        <v>22</v>
      </c>
      <c r="F13" s="21">
        <f ca="1">'EPV of Benefits'!E13/'Annuity Factors'!F11</f>
        <v>698.80924855432033</v>
      </c>
      <c r="G13" s="21">
        <f ca="1">'EPV of Benefits'!F13/'Annuity Factors'!G11</f>
        <v>733.23279381232135</v>
      </c>
      <c r="H13" s="21">
        <f ca="1">'EPV of Benefits'!G13/'Annuity Factors'!H11</f>
        <v>710.37263770705499</v>
      </c>
    </row>
    <row r="14" spans="1:8" ht="14.25" customHeight="1" x14ac:dyDescent="0.3">
      <c r="A14" s="14"/>
      <c r="B14" s="14"/>
      <c r="C14" s="14"/>
      <c r="D14" s="14"/>
      <c r="E14" s="8">
        <v>23</v>
      </c>
      <c r="F14" s="21">
        <f ca="1">'EPV of Benefits'!E14/'Annuity Factors'!F12</f>
        <v>695.87553365687495</v>
      </c>
      <c r="G14" s="21">
        <f ca="1">'EPV of Benefits'!F14/'Annuity Factors'!G12</f>
        <v>753.64656908055804</v>
      </c>
      <c r="H14" s="21">
        <f ca="1">'EPV of Benefits'!G14/'Annuity Factors'!H12</f>
        <v>729.03725807917624</v>
      </c>
    </row>
    <row r="15" spans="1:8" ht="14.25" customHeight="1" x14ac:dyDescent="0.3">
      <c r="A15" s="14"/>
      <c r="B15" s="14"/>
      <c r="C15" s="14"/>
      <c r="D15" s="14"/>
      <c r="E15" s="8">
        <v>24</v>
      </c>
      <c r="F15" s="21">
        <f ca="1">'EPV of Benefits'!E15/'Annuity Factors'!F13</f>
        <v>754.00071678088329</v>
      </c>
      <c r="G15" s="21">
        <f ca="1">'EPV of Benefits'!F15/'Annuity Factors'!G13</f>
        <v>775.95313521511719</v>
      </c>
      <c r="H15" s="21">
        <f ca="1">'EPV of Benefits'!G15/'Annuity Factors'!H13</f>
        <v>750.6899051155732</v>
      </c>
    </row>
    <row r="16" spans="1:8" ht="14.25" customHeight="1" x14ac:dyDescent="0.3">
      <c r="A16" s="14"/>
      <c r="B16" s="14"/>
      <c r="C16" s="14"/>
      <c r="D16" s="14"/>
      <c r="E16" s="8">
        <v>25</v>
      </c>
      <c r="F16" s="21">
        <f ca="1">'EPV of Benefits'!E16/'Annuity Factors'!F14</f>
        <v>783.93231601929654</v>
      </c>
      <c r="G16" s="21">
        <f ca="1">'EPV of Benefits'!F16/'Annuity Factors'!G14</f>
        <v>800.32537813283147</v>
      </c>
      <c r="H16" s="21">
        <f ca="1">'EPV of Benefits'!G16/'Annuity Factors'!H14</f>
        <v>775.52286761472828</v>
      </c>
    </row>
    <row r="17" spans="1:8" ht="14.25" customHeight="1" x14ac:dyDescent="0.3">
      <c r="A17" s="14"/>
      <c r="B17" s="14"/>
      <c r="C17" s="14"/>
      <c r="D17" s="14"/>
      <c r="E17" s="8">
        <v>26</v>
      </c>
      <c r="F17" s="21">
        <f ca="1">'EPV of Benefits'!E17/'Annuity Factors'!F15</f>
        <v>815.59724054554033</v>
      </c>
      <c r="G17" s="21">
        <f ca="1">'EPV of Benefits'!F17/'Annuity Factors'!G15</f>
        <v>826.95146481335109</v>
      </c>
      <c r="H17" s="21">
        <f ca="1">'EPV of Benefits'!G17/'Annuity Factors'!H15</f>
        <v>803.70101165751385</v>
      </c>
    </row>
    <row r="18" spans="1:8" ht="14.25" customHeight="1" x14ac:dyDescent="0.3">
      <c r="A18" s="14"/>
      <c r="B18" s="14"/>
      <c r="C18" s="14"/>
      <c r="D18" s="14"/>
      <c r="E18" s="8">
        <v>27</v>
      </c>
      <c r="F18" s="21">
        <f ca="1">'EPV of Benefits'!E18/'Annuity Factors'!F16</f>
        <v>842.97887719966172</v>
      </c>
      <c r="G18" s="21">
        <f ca="1">'EPV of Benefits'!F18/'Annuity Factors'!G16</f>
        <v>856.03609428382572</v>
      </c>
      <c r="H18" s="21">
        <f ca="1">'EPV of Benefits'!G18/'Annuity Factors'!H16</f>
        <v>835.42284729011271</v>
      </c>
    </row>
    <row r="19" spans="1:8" ht="14.25" customHeight="1" x14ac:dyDescent="0.3">
      <c r="A19" s="14"/>
      <c r="B19" s="14"/>
      <c r="C19" s="14"/>
      <c r="D19" s="14"/>
      <c r="E19" s="8">
        <v>28</v>
      </c>
      <c r="F19" s="21">
        <f ca="1">'EPV of Benefits'!E19/'Annuity Factors'!F17</f>
        <v>901.78153873993199</v>
      </c>
      <c r="G19" s="21">
        <f ca="1">'EPV of Benefits'!F19/'Annuity Factors'!G17</f>
        <v>887.80183130597266</v>
      </c>
      <c r="H19" s="21">
        <f ca="1">'EPV of Benefits'!G19/'Annuity Factors'!H17</f>
        <v>870.93193609012053</v>
      </c>
    </row>
    <row r="20" spans="1:8" ht="14.25" customHeight="1" x14ac:dyDescent="0.3">
      <c r="A20" s="14"/>
      <c r="B20" s="14"/>
      <c r="C20" s="14"/>
      <c r="D20" s="14"/>
      <c r="E20" s="8">
        <v>29</v>
      </c>
      <c r="F20" s="21">
        <f ca="1">'EPV of Benefits'!E20/'Annuity Factors'!F18</f>
        <v>932.15786990751496</v>
      </c>
      <c r="G20" s="21">
        <f ca="1">'EPV of Benefits'!F20/'Annuity Factors'!G18</f>
        <v>922.49052415702965</v>
      </c>
      <c r="H20" s="21">
        <f ca="1">'EPV of Benefits'!G20/'Annuity Factors'!H18</f>
        <v>910.52615555531497</v>
      </c>
    </row>
    <row r="21" spans="1:8" ht="14.25" customHeight="1" x14ac:dyDescent="0.3">
      <c r="A21" s="14"/>
      <c r="B21" s="14"/>
      <c r="C21" s="14"/>
      <c r="D21" s="14"/>
      <c r="E21" s="8">
        <v>30</v>
      </c>
      <c r="F21" s="21">
        <f ca="1">'EPV of Benefits'!E21/'Annuity Factors'!F19</f>
        <v>906.79731589860398</v>
      </c>
      <c r="G21" s="21">
        <f ca="1">'EPV of Benefits'!F21/'Annuity Factors'!G19</f>
        <v>960.36480691805468</v>
      </c>
      <c r="H21" s="21">
        <f ca="1">'EPV of Benefits'!G21/'Annuity Factors'!H19</f>
        <v>954.5832622355332</v>
      </c>
    </row>
    <row r="22" spans="1:8" ht="14.25" customHeight="1" x14ac:dyDescent="0.3">
      <c r="A22" s="14"/>
      <c r="B22" s="14"/>
      <c r="C22" s="14"/>
      <c r="D22" s="14"/>
      <c r="E22" s="8">
        <v>31</v>
      </c>
      <c r="F22" s="21">
        <f ca="1">'EPV of Benefits'!E22/'Annuity Factors'!F20</f>
        <v>933.83041232226185</v>
      </c>
      <c r="G22" s="21">
        <f ca="1">'EPV of Benefits'!F22/'Annuity Factors'!G20</f>
        <v>1001.7096854395757</v>
      </c>
      <c r="H22" s="21">
        <f ca="1">'EPV of Benefits'!G22/'Annuity Factors'!H20</f>
        <v>1003.5362061231235</v>
      </c>
    </row>
    <row r="23" spans="1:8" ht="14.25" customHeight="1" x14ac:dyDescent="0.3">
      <c r="A23" s="14"/>
      <c r="B23" s="14"/>
      <c r="C23" s="14"/>
      <c r="D23" s="14"/>
      <c r="E23" s="8">
        <v>32</v>
      </c>
      <c r="F23" s="21">
        <f ca="1">'EPV of Benefits'!E23/'Annuity Factors'!F21</f>
        <v>1024.0373155292332</v>
      </c>
      <c r="G23" s="21">
        <f ca="1">'EPV of Benefits'!F23/'Annuity Factors'!G21</f>
        <v>1046.8342045999707</v>
      </c>
      <c r="H23" s="21">
        <f ca="1">'EPV of Benefits'!G23/'Annuity Factors'!H21</f>
        <v>1057.746571752961</v>
      </c>
    </row>
    <row r="24" spans="1:8" ht="14.25" customHeight="1" x14ac:dyDescent="0.3">
      <c r="A24" s="14"/>
      <c r="B24" s="14"/>
      <c r="C24" s="14"/>
      <c r="D24" s="14"/>
      <c r="E24" s="8">
        <v>33</v>
      </c>
      <c r="F24" s="21">
        <f ca="1">'EPV of Benefits'!E24/'Annuity Factors'!F22</f>
        <v>1104.6371765090041</v>
      </c>
      <c r="G24" s="21">
        <f ca="1">'EPV of Benefits'!F24/'Annuity Factors'!G22</f>
        <v>1096.0731925563539</v>
      </c>
      <c r="H24" s="21">
        <f ca="1">'EPV of Benefits'!G24/'Annuity Factors'!H22</f>
        <v>1117.4319529507839</v>
      </c>
    </row>
    <row r="25" spans="1:8" ht="14.25" customHeight="1" x14ac:dyDescent="0.3">
      <c r="A25" s="14"/>
      <c r="B25" s="14"/>
      <c r="C25" s="14"/>
      <c r="D25" s="14"/>
      <c r="E25" s="8">
        <v>34</v>
      </c>
      <c r="F25" s="21">
        <f ca="1">'EPV of Benefits'!E25/'Annuity Factors'!F23</f>
        <v>1137.0194842613166</v>
      </c>
      <c r="G25" s="21">
        <f ca="1">'EPV of Benefits'!F25/'Annuity Factors'!G23</f>
        <v>1149.7890753572817</v>
      </c>
      <c r="H25" s="21">
        <f ca="1">'EPV of Benefits'!G25/'Annuity Factors'!H23</f>
        <v>1182.7092804949473</v>
      </c>
    </row>
    <row r="26" spans="1:8" ht="14.25" customHeight="1" x14ac:dyDescent="0.3">
      <c r="A26" s="14"/>
      <c r="B26" s="14"/>
      <c r="C26" s="14"/>
      <c r="D26" s="14"/>
      <c r="E26" s="8">
        <v>35</v>
      </c>
      <c r="F26" s="21">
        <f ca="1">'EPV of Benefits'!E26/'Annuity Factors'!F24</f>
        <v>1277.3111989919898</v>
      </c>
      <c r="G26" s="21">
        <f ca="1">'EPV of Benefits'!F26/'Annuity Factors'!G24</f>
        <v>1208.3737524853736</v>
      </c>
      <c r="H26" s="21">
        <f ca="1">'EPV of Benefits'!G26/'Annuity Factors'!H24</f>
        <v>1253.6374867353957</v>
      </c>
    </row>
    <row r="27" spans="1:8" ht="14.25" customHeight="1" x14ac:dyDescent="0.3">
      <c r="A27" s="14"/>
      <c r="B27" s="14"/>
      <c r="C27" s="14"/>
      <c r="D27" s="14"/>
      <c r="E27" s="8">
        <v>36</v>
      </c>
      <c r="F27" s="21">
        <f ca="1">'EPV of Benefits'!E27/'Annuity Factors'!F25</f>
        <v>1407.1870084783989</v>
      </c>
      <c r="G27" s="21">
        <f ca="1">'EPV of Benefits'!F27/'Annuity Factors'!G25</f>
        <v>1272.2505205697883</v>
      </c>
      <c r="H27" s="21">
        <f ca="1">'EPV of Benefits'!G27/'Annuity Factors'!H25</f>
        <v>1330.2119487698376</v>
      </c>
    </row>
    <row r="28" spans="1:8" ht="14.25" customHeight="1" x14ac:dyDescent="0.3">
      <c r="A28" s="14"/>
      <c r="B28" s="14"/>
      <c r="C28" s="14"/>
      <c r="D28" s="14"/>
      <c r="E28" s="8">
        <v>37</v>
      </c>
      <c r="F28" s="21">
        <f ca="1">'EPV of Benefits'!E28/'Annuity Factors'!F26</f>
        <v>1454.6991826532558</v>
      </c>
      <c r="G28" s="21">
        <f ca="1">'EPV of Benefits'!F28/'Annuity Factors'!G26</f>
        <v>1341.8760286002189</v>
      </c>
      <c r="H28" s="21">
        <f ca="1">'EPV of Benefits'!G28/'Annuity Factors'!H26</f>
        <v>1412.4536840967603</v>
      </c>
    </row>
    <row r="29" spans="1:8" ht="14.25" customHeight="1" x14ac:dyDescent="0.3">
      <c r="A29" s="14"/>
      <c r="B29" s="14"/>
      <c r="C29" s="14"/>
      <c r="D29" s="14"/>
      <c r="E29" s="8">
        <v>38</v>
      </c>
      <c r="F29" s="21">
        <f ca="1">'EPV of Benefits'!E29/'Annuity Factors'!F27</f>
        <v>1493.9990334017812</v>
      </c>
      <c r="G29" s="21">
        <f ca="1">'EPV of Benefits'!F29/'Annuity Factors'!G27</f>
        <v>1417.7422434406085</v>
      </c>
      <c r="H29" s="21">
        <f ca="1">'EPV of Benefits'!G29/'Annuity Factors'!H27</f>
        <v>1500.4587323943942</v>
      </c>
    </row>
    <row r="30" spans="1:8" ht="14.25" customHeight="1" x14ac:dyDescent="0.3">
      <c r="A30" s="14"/>
      <c r="B30" s="14"/>
      <c r="C30" s="14"/>
      <c r="D30" s="14"/>
      <c r="E30" s="8">
        <v>39</v>
      </c>
      <c r="F30" s="21">
        <f ca="1">'EPV of Benefits'!E30/'Annuity Factors'!F28</f>
        <v>1644.7675996883675</v>
      </c>
      <c r="G30" s="21">
        <f ca="1">'EPV of Benefits'!F30/'Annuity Factors'!G28</f>
        <v>1500.378399251686</v>
      </c>
      <c r="H30" s="21">
        <f ca="1">'EPV of Benefits'!G30/'Annuity Factors'!H28</f>
        <v>1594.3799129801844</v>
      </c>
    </row>
    <row r="31" spans="1:8" ht="14.25" customHeight="1" x14ac:dyDescent="0.3">
      <c r="A31" s="14"/>
      <c r="B31" s="14"/>
      <c r="C31" s="14"/>
      <c r="D31" s="14"/>
      <c r="E31" s="8">
        <v>40</v>
      </c>
      <c r="F31" s="21">
        <f ca="1">'EPV of Benefits'!E31/'Annuity Factors'!F29</f>
        <v>1706.4900318839989</v>
      </c>
      <c r="G31" s="21">
        <f ca="1">'EPV of Benefits'!F31/'Annuity Factors'!G29</f>
        <v>1590.3528985804896</v>
      </c>
      <c r="H31" s="21">
        <f ca="1">'EPV of Benefits'!G31/'Annuity Factors'!H29</f>
        <v>1694.3832960191962</v>
      </c>
    </row>
    <row r="32" spans="1:8" ht="14.25" customHeight="1" x14ac:dyDescent="0.3">
      <c r="A32" s="14"/>
      <c r="B32" s="14"/>
      <c r="C32" s="14"/>
      <c r="D32" s="14"/>
      <c r="E32" s="8">
        <v>41</v>
      </c>
      <c r="F32" s="21">
        <f ca="1">'EPV of Benefits'!E32/'Annuity Factors'!F30</f>
        <v>1662.7657572908399</v>
      </c>
      <c r="G32" s="21">
        <f ca="1">'EPV of Benefits'!F32/'Annuity Factors'!G30</f>
        <v>1688.2751263930049</v>
      </c>
      <c r="H32" s="21">
        <f ca="1">'EPV of Benefits'!G32/'Annuity Factors'!H30</f>
        <v>1800.6792552882287</v>
      </c>
    </row>
    <row r="33" spans="1:8" ht="14.25" customHeight="1" x14ac:dyDescent="0.3">
      <c r="A33" s="14"/>
      <c r="B33" s="14"/>
      <c r="C33" s="14"/>
      <c r="D33" s="14"/>
      <c r="E33" s="8">
        <v>42</v>
      </c>
      <c r="F33" s="21">
        <f ca="1">'EPV of Benefits'!E33/'Annuity Factors'!F31</f>
        <v>1798.1691767188349</v>
      </c>
      <c r="G33" s="21">
        <f ca="1">'EPV of Benefits'!F33/'Annuity Factors'!G31</f>
        <v>1794.7971312974751</v>
      </c>
      <c r="H33" s="21">
        <f ca="1">'EPV of Benefits'!G33/'Annuity Factors'!H31</f>
        <v>1913.4878549530947</v>
      </c>
    </row>
    <row r="34" spans="1:8" ht="14.25" customHeight="1" x14ac:dyDescent="0.3">
      <c r="A34" s="14"/>
      <c r="B34" s="14"/>
      <c r="C34" s="14"/>
      <c r="D34" s="14"/>
      <c r="E34" s="8">
        <v>43</v>
      </c>
      <c r="F34" s="21">
        <f ca="1">'EPV of Benefits'!E34/'Annuity Factors'!F32</f>
        <v>1859.2868756638848</v>
      </c>
      <c r="G34" s="21">
        <f ca="1">'EPV of Benefits'!F34/'Annuity Factors'!G32</f>
        <v>1910.6151207908913</v>
      </c>
      <c r="H34" s="21">
        <f ca="1">'EPV of Benefits'!G34/'Annuity Factors'!H32</f>
        <v>2032.9279610840774</v>
      </c>
    </row>
    <row r="35" spans="1:8" ht="14.25" customHeight="1" x14ac:dyDescent="0.3">
      <c r="A35" s="14"/>
      <c r="B35" s="14"/>
      <c r="C35" s="14"/>
      <c r="D35" s="14"/>
      <c r="E35" s="8">
        <v>44</v>
      </c>
      <c r="F35" s="21">
        <f ca="1">'EPV of Benefits'!E35/'Annuity Factors'!F33</f>
        <v>2070.6890634386286</v>
      </c>
      <c r="G35" s="21">
        <f ca="1">'EPV of Benefits'!F35/'Annuity Factors'!G33</f>
        <v>2036.4707098230231</v>
      </c>
      <c r="H35" s="21">
        <f ca="1">'EPV of Benefits'!G35/'Annuity Factors'!H33</f>
        <v>2158.9943754208266</v>
      </c>
    </row>
    <row r="36" spans="1:8" ht="14.25" customHeight="1" x14ac:dyDescent="0.3">
      <c r="A36" s="14"/>
      <c r="B36" s="14"/>
      <c r="C36" s="14"/>
      <c r="D36" s="14"/>
      <c r="E36" s="8">
        <v>45</v>
      </c>
      <c r="F36" s="21">
        <f ca="1">'EPV of Benefits'!E36/'Annuity Factors'!F34</f>
        <v>2289.3258793085606</v>
      </c>
      <c r="G36" s="21">
        <f ca="1">'EPV of Benefits'!F36/'Annuity Factors'!G34</f>
        <v>2173.1518547117239</v>
      </c>
      <c r="H36" s="21">
        <f ca="1">'EPV of Benefits'!G36/'Annuity Factors'!H34</f>
        <v>2291.5638164526558</v>
      </c>
    </row>
    <row r="37" spans="1:8" ht="14.25" customHeight="1" x14ac:dyDescent="0.3">
      <c r="A37" s="14"/>
      <c r="B37" s="14"/>
      <c r="C37" s="14"/>
      <c r="D37" s="14"/>
      <c r="E37" s="8">
        <v>46</v>
      </c>
      <c r="F37" s="21">
        <f ca="1">'EPV of Benefits'!E37/'Annuity Factors'!F35</f>
        <v>2230.718156958596</v>
      </c>
      <c r="G37" s="21">
        <f ca="1">'EPV of Benefits'!F37/'Annuity Factors'!G35</f>
        <v>2321.4933980387118</v>
      </c>
      <c r="H37" s="21">
        <f ca="1">'EPV of Benefits'!G37/'Annuity Factors'!H35</f>
        <v>2430.4597530462343</v>
      </c>
    </row>
    <row r="38" spans="1:8" ht="14.25" customHeight="1" x14ac:dyDescent="0.3">
      <c r="A38" s="14"/>
      <c r="B38" s="14"/>
      <c r="C38" s="14"/>
      <c r="D38" s="14"/>
      <c r="E38" s="8">
        <v>47</v>
      </c>
      <c r="F38" s="21">
        <f ca="1">'EPV of Benefits'!E38/'Annuity Factors'!F36</f>
        <v>2467.6023203023028</v>
      </c>
      <c r="G38" s="21">
        <f ca="1">'EPV of Benefits'!F38/'Annuity Factors'!G36</f>
        <v>2482.3771454100624</v>
      </c>
      <c r="H38" s="21">
        <f ca="1">'EPV of Benefits'!G38/'Annuity Factors'!H36</f>
        <v>2575.4783601956369</v>
      </c>
    </row>
    <row r="39" spans="1:8" ht="14.25" customHeight="1" x14ac:dyDescent="0.3">
      <c r="A39" s="14"/>
      <c r="B39" s="14"/>
      <c r="C39" s="14"/>
      <c r="D39" s="14"/>
      <c r="E39" s="8">
        <v>48</v>
      </c>
      <c r="F39" s="21">
        <f ca="1">'EPV of Benefits'!E39/'Annuity Factors'!F37</f>
        <v>2554.8036019950819</v>
      </c>
      <c r="G39" s="21">
        <f ca="1">'EPV of Benefits'!F39/'Annuity Factors'!G37</f>
        <v>2656.7313929586367</v>
      </c>
      <c r="H39" s="21">
        <f ca="1">'EPV of Benefits'!G39/'Annuity Factors'!H37</f>
        <v>2726.2813229975409</v>
      </c>
    </row>
    <row r="40" spans="1:8" ht="14.25" customHeight="1" x14ac:dyDescent="0.3">
      <c r="A40" s="14"/>
      <c r="B40" s="14"/>
      <c r="C40" s="14"/>
      <c r="D40" s="14"/>
      <c r="E40" s="8">
        <v>49</v>
      </c>
      <c r="F40" s="21">
        <f ca="1">'EPV of Benefits'!E40/'Annuity Factors'!F38</f>
        <v>2667.8553083881156</v>
      </c>
      <c r="G40" s="21">
        <f ca="1">'EPV of Benefits'!F40/'Annuity Factors'!G38</f>
        <v>2845.5298266002492</v>
      </c>
      <c r="H40" s="21">
        <f ca="1">'EPV of Benefits'!G40/'Annuity Factors'!H38</f>
        <v>2882.4325038501015</v>
      </c>
    </row>
    <row r="41" spans="1:8" ht="14.25" customHeight="1" x14ac:dyDescent="0.3">
      <c r="A41" s="14"/>
      <c r="B41" s="14"/>
      <c r="C41" s="14"/>
      <c r="D41" s="14"/>
      <c r="E41" s="8">
        <v>50</v>
      </c>
      <c r="F41" s="21">
        <f ca="1">'EPV of Benefits'!E41/'Annuity Factors'!F39</f>
        <v>2930.7690489158326</v>
      </c>
      <c r="G41" s="21">
        <f ca="1">'EPV of Benefits'!F41/'Annuity Factors'!G39</f>
        <v>3049.7897220995123</v>
      </c>
      <c r="H41" s="21">
        <f ca="1">'EPV of Benefits'!G41/'Annuity Factors'!H39</f>
        <v>3043.3829462425338</v>
      </c>
    </row>
  </sheetData>
  <mergeCells count="1">
    <mergeCell ref="E8:H8"/>
  </mergeCells>
  <pageMargins left="0.7" right="0.7" top="0.75" bottom="0.75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1"/>
  <sheetViews>
    <sheetView tabSelected="1" topLeftCell="A7" zoomScaleNormal="100" workbookViewId="0">
      <selection activeCell="A6" sqref="A6:XFD6"/>
    </sheetView>
  </sheetViews>
  <sheetFormatPr defaultColWidth="8.6640625" defaultRowHeight="14.4" x14ac:dyDescent="0.3"/>
  <cols>
    <col min="1" max="1" width="3" customWidth="1"/>
    <col min="2" max="2" width="42" customWidth="1"/>
    <col min="3" max="4" width="20" customWidth="1"/>
    <col min="5" max="5" width="32" customWidth="1"/>
  </cols>
  <sheetData>
    <row r="1" spans="1:5" ht="14.25" customHeight="1" x14ac:dyDescent="0.3">
      <c r="A1" s="14"/>
      <c r="B1" s="14"/>
      <c r="C1" s="14"/>
      <c r="D1" s="14"/>
      <c r="E1" s="14"/>
    </row>
    <row r="2" spans="1:5" ht="18" customHeight="1" x14ac:dyDescent="0.35">
      <c r="A2" s="14"/>
      <c r="B2" s="4" t="s">
        <v>40</v>
      </c>
      <c r="C2" s="4"/>
      <c r="D2" s="4"/>
      <c r="E2" s="4"/>
    </row>
    <row r="3" spans="1:5" ht="14.25" customHeight="1" x14ac:dyDescent="0.3">
      <c r="A3" s="14"/>
      <c r="B3" s="14"/>
      <c r="C3" s="14"/>
      <c r="D3" s="14"/>
      <c r="E3" s="14"/>
    </row>
    <row r="4" spans="1:5" ht="15" customHeight="1" x14ac:dyDescent="0.3">
      <c r="A4" s="14"/>
      <c r="B4" s="3" t="s">
        <v>41</v>
      </c>
      <c r="C4" s="3"/>
      <c r="D4" s="3"/>
      <c r="E4" s="3"/>
    </row>
    <row r="5" spans="1:5" ht="14.25" customHeight="1" x14ac:dyDescent="0.3">
      <c r="A5" s="14"/>
      <c r="B5" s="14"/>
      <c r="C5" s="14"/>
      <c r="D5" s="14"/>
      <c r="E5" s="14"/>
    </row>
    <row r="6" spans="1:5" ht="28.2" customHeight="1" x14ac:dyDescent="0.3">
      <c r="A6" s="14"/>
      <c r="B6" s="7" t="s">
        <v>42</v>
      </c>
      <c r="C6" s="7" t="s">
        <v>43</v>
      </c>
      <c r="D6" s="7" t="s">
        <v>44</v>
      </c>
      <c r="E6" s="7" t="s">
        <v>45</v>
      </c>
    </row>
    <row r="7" spans="1:5" ht="14.25" customHeight="1" x14ac:dyDescent="0.3">
      <c r="A7" s="14"/>
      <c r="B7" s="23" t="s">
        <v>46</v>
      </c>
      <c r="C7" s="24">
        <f>SUM(graduation_data!I2:I42)</f>
        <v>46.62573084078349</v>
      </c>
      <c r="D7" s="24">
        <f>SUM(graduation_data!K2:K42)</f>
        <v>4.2737480642847636</v>
      </c>
      <c r="E7" s="25" t="s">
        <v>47</v>
      </c>
    </row>
    <row r="8" spans="1:5" ht="14.25" customHeight="1" x14ac:dyDescent="0.3">
      <c r="A8" s="14"/>
      <c r="B8" s="23" t="s">
        <v>48</v>
      </c>
      <c r="C8" s="26">
        <v>38</v>
      </c>
      <c r="D8" s="26">
        <v>38</v>
      </c>
      <c r="E8" s="25" t="s">
        <v>49</v>
      </c>
    </row>
    <row r="9" spans="1:5" ht="14.25" customHeight="1" x14ac:dyDescent="0.3">
      <c r="A9" s="14"/>
      <c r="B9" s="23" t="s">
        <v>50</v>
      </c>
      <c r="C9" s="24">
        <f>CHIINV(0.05,C8)</f>
        <v>53.383540622969299</v>
      </c>
      <c r="D9" s="24">
        <f>CHIINV(0.05,D8)</f>
        <v>53.383540622969299</v>
      </c>
      <c r="E9" s="25" t="s">
        <v>51</v>
      </c>
    </row>
    <row r="10" spans="1:5" ht="14.25" customHeight="1" x14ac:dyDescent="0.3">
      <c r="A10" s="14"/>
      <c r="B10" s="23" t="s">
        <v>52</v>
      </c>
      <c r="C10" s="27" t="str">
        <f>IF(C7&lt;C9,"Pass","Fail")</f>
        <v>Pass</v>
      </c>
      <c r="D10" s="27" t="str">
        <f>IF(D7&lt;D9,"Pass","Fail")</f>
        <v>Pass</v>
      </c>
      <c r="E10" s="25" t="s">
        <v>53</v>
      </c>
    </row>
    <row r="11" spans="1:5" ht="14.25" customHeight="1" x14ac:dyDescent="0.3">
      <c r="A11" s="14"/>
      <c r="B11" s="23" t="s">
        <v>54</v>
      </c>
      <c r="C11" s="26">
        <f>COUNTIF(graduation_data!H2:H42,"&gt;0")</f>
        <v>20</v>
      </c>
      <c r="D11" s="26">
        <f>COUNTIF(graduation_data!J2:J42,"&gt;0")</f>
        <v>21</v>
      </c>
      <c r="E11" s="25" t="s">
        <v>55</v>
      </c>
    </row>
    <row r="12" spans="1:5" ht="14.25" customHeight="1" x14ac:dyDescent="0.3">
      <c r="A12" s="14"/>
      <c r="B12" s="23" t="s">
        <v>56</v>
      </c>
      <c r="C12" s="26">
        <f>COUNTIF(graduation_data!H2:H42,"&lt;0")</f>
        <v>21</v>
      </c>
      <c r="D12" s="26">
        <f>COUNTIF(graduation_data!J2:J42,"&lt;0")</f>
        <v>20</v>
      </c>
      <c r="E12" s="25" t="s">
        <v>55</v>
      </c>
    </row>
    <row r="13" spans="1:5" ht="14.25" customHeight="1" x14ac:dyDescent="0.3">
      <c r="A13" s="14"/>
      <c r="B13" s="23" t="s">
        <v>57</v>
      </c>
      <c r="C13" s="28">
        <f>MIN(1,2*MIN(BINOMDIST(C11,C11+C12,0.5,TRUE()),1-BINOMDIST(C11-1,C11+C12,0.5,TRUE())))</f>
        <v>0.99999999999999978</v>
      </c>
      <c r="D13" s="28">
        <f>MIN(1,2*MIN(BINOMDIST(D11,D11+D12,0.5,TRUE()),1-BINOMDIST(D11-1,D11+D12,0.5,TRUE())))</f>
        <v>1</v>
      </c>
      <c r="E13" s="25" t="s">
        <v>58</v>
      </c>
    </row>
    <row r="14" spans="1:5" ht="14.25" customHeight="1" x14ac:dyDescent="0.3">
      <c r="A14" s="14"/>
      <c r="B14" s="23" t="s">
        <v>59</v>
      </c>
      <c r="C14" s="29">
        <f t="array" ref="C14">MAX(ABS(_Helpers!B2:B42))</f>
        <v>3.3153141251744428E-2</v>
      </c>
      <c r="D14" s="29">
        <f t="array" ref="D14">MAX(ABS(_Helpers!C2:C42))</f>
        <v>5.0907558179956472E-2</v>
      </c>
      <c r="E14" s="25" t="s">
        <v>60</v>
      </c>
    </row>
    <row r="15" spans="1:5" ht="14.25" customHeight="1" x14ac:dyDescent="0.3">
      <c r="A15" s="14"/>
      <c r="B15" s="14"/>
      <c r="C15" s="14"/>
      <c r="D15" s="14"/>
      <c r="E15" s="14"/>
    </row>
    <row r="16" spans="1:5" ht="14.25" customHeight="1" x14ac:dyDescent="0.3">
      <c r="A16" s="14"/>
      <c r="B16" s="14"/>
      <c r="C16" s="14"/>
      <c r="D16" s="14"/>
      <c r="E16" s="14"/>
    </row>
    <row r="17" spans="1:5" ht="15" customHeight="1" x14ac:dyDescent="0.3">
      <c r="A17" s="14"/>
      <c r="B17" s="3" t="s">
        <v>61</v>
      </c>
      <c r="C17" s="3"/>
      <c r="D17" s="3"/>
      <c r="E17" s="3"/>
    </row>
    <row r="18" spans="1:5" ht="14.25" customHeight="1" x14ac:dyDescent="0.3">
      <c r="A18" s="14"/>
      <c r="B18" s="14"/>
      <c r="C18" s="14"/>
      <c r="D18" s="14"/>
      <c r="E18" s="14"/>
    </row>
    <row r="19" spans="1:5" ht="14.25" customHeight="1" x14ac:dyDescent="0.3">
      <c r="A19" s="14"/>
      <c r="B19" s="7" t="s">
        <v>62</v>
      </c>
      <c r="C19" s="7" t="s">
        <v>63</v>
      </c>
      <c r="D19" s="2" t="s">
        <v>45</v>
      </c>
      <c r="E19" s="2"/>
    </row>
    <row r="20" spans="1:5" ht="14.25" customHeight="1" x14ac:dyDescent="0.3">
      <c r="A20" s="14"/>
      <c r="B20" s="23" t="s">
        <v>64</v>
      </c>
      <c r="C20" s="30">
        <f t="array" aca="1" ref="C20" ca="1">MAX(ABS((Premium!F11:F41-Premium!G11:G41)/Premium!G11:G41))</f>
        <v>0.10606125580375331</v>
      </c>
      <c r="D20" s="1" t="s">
        <v>65</v>
      </c>
      <c r="E20" s="1"/>
    </row>
    <row r="21" spans="1:5" ht="14.25" customHeight="1" x14ac:dyDescent="0.3">
      <c r="A21" s="14"/>
      <c r="B21" s="23" t="s">
        <v>66</v>
      </c>
      <c r="C21" s="30">
        <f t="array" aca="1" ref="C21" ca="1">AVERAGE(ABS((Premium!F11:F41-Premium!G11:G41)/Premium!G11:G41))</f>
        <v>3.8576761952393714E-2</v>
      </c>
      <c r="D21" s="1" t="s">
        <v>67</v>
      </c>
      <c r="E21" s="1"/>
    </row>
  </sheetData>
  <mergeCells count="6">
    <mergeCell ref="D21:E21"/>
    <mergeCell ref="B2:E2"/>
    <mergeCell ref="B4:E4"/>
    <mergeCell ref="B17:E17"/>
    <mergeCell ref="D19:E19"/>
    <mergeCell ref="D20:E20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42"/>
  <sheetViews>
    <sheetView zoomScaleNormal="100" workbookViewId="0"/>
  </sheetViews>
  <sheetFormatPr defaultColWidth="8.6640625" defaultRowHeight="14.4" x14ac:dyDescent="0.3"/>
  <sheetData>
    <row r="1" spans="1:3" ht="15" customHeight="1" x14ac:dyDescent="0.3">
      <c r="A1" s="14" t="s">
        <v>0</v>
      </c>
      <c r="B1" s="14" t="s">
        <v>68</v>
      </c>
      <c r="C1" s="14" t="s">
        <v>69</v>
      </c>
    </row>
    <row r="2" spans="1:3" ht="15" customHeight="1" x14ac:dyDescent="0.3">
      <c r="A2" s="31">
        <f>graduation_data!A2</f>
        <v>20</v>
      </c>
      <c r="B2" s="32">
        <f>graduation_data!E2-graduation_data!F2</f>
        <v>2.5019176326007003E-3</v>
      </c>
      <c r="C2" s="32">
        <f>graduation_data!E2-graduation_data!G2</f>
        <v>2.4318351413431007E-3</v>
      </c>
    </row>
    <row r="3" spans="1:3" ht="15" customHeight="1" x14ac:dyDescent="0.3">
      <c r="A3" s="31">
        <f>graduation_data!A3</f>
        <v>21</v>
      </c>
      <c r="B3" s="32">
        <f>B2+graduation_data!E3-graduation_data!F3</f>
        <v>7.7038260068510028E-3</v>
      </c>
      <c r="C3" s="32">
        <f>C2+graduation_data!E3-graduation_data!G3</f>
        <v>7.710849584421503E-3</v>
      </c>
    </row>
    <row r="4" spans="1:3" ht="15" customHeight="1" x14ac:dyDescent="0.3">
      <c r="A4" s="31">
        <f>graduation_data!A4</f>
        <v>22</v>
      </c>
      <c r="B4" s="32">
        <f>B3+graduation_data!E4-graduation_data!F4</f>
        <v>6.9841391653276026E-3</v>
      </c>
      <c r="C4" s="32">
        <f>C3+graduation_data!E4-graduation_data!G4</f>
        <v>7.2258323780636027E-3</v>
      </c>
    </row>
    <row r="5" spans="1:3" ht="15" customHeight="1" x14ac:dyDescent="0.3">
      <c r="A5" s="31">
        <f>graduation_data!A5</f>
        <v>23</v>
      </c>
      <c r="B5" s="32">
        <f>B4+graduation_data!E5-graduation_data!F5</f>
        <v>2.0028011815249741E-3</v>
      </c>
      <c r="C5" s="32">
        <f>C4+graduation_data!E5-graduation_data!G5</f>
        <v>2.6235102281895704E-3</v>
      </c>
    </row>
    <row r="6" spans="1:3" ht="15" customHeight="1" x14ac:dyDescent="0.3">
      <c r="A6" s="31">
        <f>graduation_data!A6</f>
        <v>24</v>
      </c>
      <c r="B6" s="32">
        <f>B5+graduation_data!E6-graduation_data!F6</f>
        <v>-5.266798475858675E-3</v>
      </c>
      <c r="C6" s="32">
        <f>C5+graduation_data!E6-graduation_data!G6</f>
        <v>-4.1588813846840777E-3</v>
      </c>
    </row>
    <row r="7" spans="1:3" ht="15" customHeight="1" x14ac:dyDescent="0.3">
      <c r="A7" s="31">
        <f>graduation_data!A7</f>
        <v>25</v>
      </c>
      <c r="B7" s="32">
        <f>B6+graduation_data!E7-graduation_data!F7</f>
        <v>-4.7488779648588754E-3</v>
      </c>
      <c r="C7" s="32">
        <f>C6+graduation_data!E7-graduation_data!G7</f>
        <v>-3.0901389375299782E-3</v>
      </c>
    </row>
    <row r="8" spans="1:3" ht="15" customHeight="1" x14ac:dyDescent="0.3">
      <c r="A8" s="31">
        <f>graduation_data!A8</f>
        <v>26</v>
      </c>
      <c r="B8" s="32">
        <f>B7+graduation_data!E8-graduation_data!F8</f>
        <v>-6.5230984469777757E-3</v>
      </c>
      <c r="C8" s="32">
        <f>C7+graduation_data!E8-graduation_data!G8</f>
        <v>-4.2861051160744783E-3</v>
      </c>
    </row>
    <row r="9" spans="1:3" ht="15" customHeight="1" x14ac:dyDescent="0.3">
      <c r="A9" s="31">
        <f>graduation_data!A9</f>
        <v>27</v>
      </c>
      <c r="B9" s="32">
        <f>B8+graduation_data!E9-graduation_data!F9</f>
        <v>-6.5734043586225741E-3</v>
      </c>
      <c r="C9" s="32">
        <f>C8+graduation_data!E9-graduation_data!G9</f>
        <v>-3.7562173545119763E-3</v>
      </c>
    </row>
    <row r="10" spans="1:3" ht="15" customHeight="1" x14ac:dyDescent="0.3">
      <c r="A10" s="31">
        <f>graduation_data!A10</f>
        <v>28</v>
      </c>
      <c r="B10" s="32">
        <f>B9+graduation_data!E10-graduation_data!F10</f>
        <v>-7.7659085415832732E-3</v>
      </c>
      <c r="C10" s="32">
        <f>C9+graduation_data!E10-graduation_data!G10</f>
        <v>-4.3795712093149756E-3</v>
      </c>
    </row>
    <row r="11" spans="1:3" ht="15" customHeight="1" x14ac:dyDescent="0.3">
      <c r="A11" s="31">
        <f>graduation_data!A11</f>
        <v>29</v>
      </c>
      <c r="B11" s="32">
        <f>B10+graduation_data!E11-graduation_data!F11</f>
        <v>2.4341468509633292E-3</v>
      </c>
      <c r="C11" s="32">
        <f>C10+graduation_data!E11-graduation_data!G11</f>
        <v>6.3783146084682232E-3</v>
      </c>
    </row>
    <row r="12" spans="1:3" ht="15" customHeight="1" x14ac:dyDescent="0.3">
      <c r="A12" s="31">
        <f>graduation_data!A12</f>
        <v>30</v>
      </c>
      <c r="B12" s="32">
        <f>B11+graduation_data!E12-graduation_data!F12</f>
        <v>1.0158308147116227E-2</v>
      </c>
      <c r="C12" s="32">
        <f>C11+graduation_data!E12-graduation_data!G12</f>
        <v>1.4658168059756522E-2</v>
      </c>
    </row>
    <row r="13" spans="1:3" ht="15" customHeight="1" x14ac:dyDescent="0.3">
      <c r="A13" s="31">
        <f>graduation_data!A13</f>
        <v>31</v>
      </c>
      <c r="B13" s="32">
        <f>B12+graduation_data!E13-graduation_data!F13</f>
        <v>4.5289801842839268E-3</v>
      </c>
      <c r="C13" s="32">
        <f>C12+graduation_data!E13-graduation_data!G13</f>
        <v>9.5806059630563212E-3</v>
      </c>
    </row>
    <row r="14" spans="1:3" ht="15" customHeight="1" x14ac:dyDescent="0.3">
      <c r="A14" s="31">
        <f>graduation_data!A14</f>
        <v>32</v>
      </c>
      <c r="B14" s="32">
        <f>B13+graduation_data!E14-graduation_data!F14</f>
        <v>-2.9676867381437724E-3</v>
      </c>
      <c r="C14" s="32">
        <f>C13+graduation_data!E14-graduation_data!G14</f>
        <v>2.603850922240223E-3</v>
      </c>
    </row>
    <row r="15" spans="1:3" ht="15" customHeight="1" x14ac:dyDescent="0.3">
      <c r="A15" s="31">
        <f>graduation_data!A15</f>
        <v>33</v>
      </c>
      <c r="B15" s="32">
        <f>B14+graduation_data!E15-graduation_data!F15</f>
        <v>-8.6673406237497419E-4</v>
      </c>
      <c r="C15" s="32">
        <f>C14+graduation_data!E15-graduation_data!G15</f>
        <v>5.1460730229026218E-3</v>
      </c>
    </row>
    <row r="16" spans="1:3" ht="15" customHeight="1" x14ac:dyDescent="0.3">
      <c r="A16" s="31">
        <f>graduation_data!A16</f>
        <v>34</v>
      </c>
      <c r="B16" s="32">
        <f>B15+graduation_data!E16-graduation_data!F16</f>
        <v>-1.2786993673772774E-2</v>
      </c>
      <c r="C16" s="32">
        <f>C15+graduation_data!E16-graduation_data!G16</f>
        <v>-6.4657507277349792E-3</v>
      </c>
    </row>
    <row r="17" spans="1:3" ht="15" customHeight="1" x14ac:dyDescent="0.3">
      <c r="A17" s="31">
        <f>graduation_data!A17</f>
        <v>35</v>
      </c>
      <c r="B17" s="32">
        <f>B16+graduation_data!E17-graduation_data!F17</f>
        <v>-1.0036193246331773E-2</v>
      </c>
      <c r="C17" s="32">
        <f>C16+graduation_data!E17-graduation_data!G17</f>
        <v>-3.5976387780317781E-3</v>
      </c>
    </row>
    <row r="18" spans="1:3" ht="15" customHeight="1" x14ac:dyDescent="0.3">
      <c r="A18" s="31">
        <f>graduation_data!A18</f>
        <v>36</v>
      </c>
      <c r="B18" s="32">
        <f>B17+graduation_data!E18-graduation_data!F18</f>
        <v>-1.3803645836330973E-2</v>
      </c>
      <c r="C18" s="32">
        <f>C17+graduation_data!E18-graduation_data!G18</f>
        <v>-7.4875231283079782E-3</v>
      </c>
    </row>
    <row r="19" spans="1:3" ht="15" customHeight="1" x14ac:dyDescent="0.3">
      <c r="A19" s="31">
        <f>graduation_data!A19</f>
        <v>37</v>
      </c>
      <c r="B19" s="32">
        <f>B18+graduation_data!E19-graduation_data!F19</f>
        <v>-5.6972660521129731E-3</v>
      </c>
      <c r="C19" s="32">
        <f>C18+graduation_data!E19-graduation_data!G19</f>
        <v>2.1973435864922064E-4</v>
      </c>
    </row>
    <row r="20" spans="1:3" ht="15" customHeight="1" x14ac:dyDescent="0.3">
      <c r="A20" s="31">
        <f>graduation_data!A20</f>
        <v>38</v>
      </c>
      <c r="B20" s="32">
        <f>B19+graduation_data!E20-graduation_data!F20</f>
        <v>-9.6811042471669703E-3</v>
      </c>
      <c r="C20" s="32">
        <f>C19+graduation_data!E20-graduation_data!G20</f>
        <v>-4.4629508457222772E-3</v>
      </c>
    </row>
    <row r="21" spans="1:3" ht="15" customHeight="1" x14ac:dyDescent="0.3">
      <c r="A21" s="31">
        <f>graduation_data!A21</f>
        <v>39</v>
      </c>
      <c r="B21" s="32">
        <f>B20+graduation_data!E21-graduation_data!F21</f>
        <v>-8.5508472908293713E-3</v>
      </c>
      <c r="C21" s="32">
        <f>C20+graduation_data!E21-graduation_data!G21</f>
        <v>-4.3457313049933798E-3</v>
      </c>
    </row>
    <row r="22" spans="1:3" ht="15" customHeight="1" x14ac:dyDescent="0.3">
      <c r="A22" s="31">
        <f>graduation_data!A22</f>
        <v>40</v>
      </c>
      <c r="B22" s="32">
        <f>B21+graduation_data!E22-graduation_data!F22</f>
        <v>3.7691214869185266E-3</v>
      </c>
      <c r="C22" s="32">
        <f>C21+graduation_data!E22-graduation_data!G22</f>
        <v>6.6447272927561245E-3</v>
      </c>
    </row>
    <row r="23" spans="1:3" ht="15" customHeight="1" x14ac:dyDescent="0.3">
      <c r="A23" s="31">
        <f>graduation_data!A23</f>
        <v>41</v>
      </c>
      <c r="B23" s="32">
        <f>B22+graduation_data!E23-graduation_data!F23</f>
        <v>7.8443583569703275E-3</v>
      </c>
      <c r="C23" s="32">
        <f>C22+graduation_data!E23-graduation_data!G23</f>
        <v>9.0833475838401311E-3</v>
      </c>
    </row>
    <row r="24" spans="1:3" ht="15" customHeight="1" x14ac:dyDescent="0.3">
      <c r="A24" s="31">
        <f>graduation_data!A24</f>
        <v>42</v>
      </c>
      <c r="B24" s="32">
        <f>B23+graduation_data!E24-graduation_data!F24</f>
        <v>2.7156449039960236E-3</v>
      </c>
      <c r="C24" s="32">
        <f>C23+graduation_data!E24-graduation_data!G24</f>
        <v>2.0220237229134352E-3</v>
      </c>
    </row>
    <row r="25" spans="1:3" ht="15" customHeight="1" x14ac:dyDescent="0.3">
      <c r="A25" s="31">
        <f>graduation_data!A25</f>
        <v>43</v>
      </c>
      <c r="B25" s="32">
        <f>B24+graduation_data!E25-graduation_data!F25</f>
        <v>3.5726956273922361E-4</v>
      </c>
      <c r="C25" s="32">
        <f>C24+graduation_data!E25-graduation_data!G25</f>
        <v>-2.5542354486320709E-3</v>
      </c>
    </row>
    <row r="26" spans="1:3" ht="15" customHeight="1" x14ac:dyDescent="0.3">
      <c r="A26" s="31">
        <f>graduation_data!A26</f>
        <v>44</v>
      </c>
      <c r="B26" s="32">
        <f>B25+graduation_data!E26-graduation_data!F26</f>
        <v>1.0124913275460223E-3</v>
      </c>
      <c r="C26" s="32">
        <f>C25+graduation_data!E26-graduation_data!G26</f>
        <v>-4.3842182294805687E-3</v>
      </c>
    </row>
    <row r="27" spans="1:3" ht="15" customHeight="1" x14ac:dyDescent="0.3">
      <c r="A27" s="31">
        <f>graduation_data!A27</f>
        <v>45</v>
      </c>
      <c r="B27" s="32">
        <f>B26+graduation_data!E27-graduation_data!F27</f>
        <v>2.6569679539055521E-2</v>
      </c>
      <c r="C27" s="32">
        <f>C26+graduation_data!E27-graduation_data!G27</f>
        <v>1.8452531424892733E-2</v>
      </c>
    </row>
    <row r="28" spans="1:3" ht="15" customHeight="1" x14ac:dyDescent="0.3">
      <c r="A28" s="31">
        <f>graduation_data!A28</f>
        <v>46</v>
      </c>
      <c r="B28" s="32">
        <f>B27+graduation_data!E28-graduation_data!F28</f>
        <v>7.478564445724728E-3</v>
      </c>
      <c r="C28" s="32">
        <f>C27+graduation_data!E28-graduation_data!G28</f>
        <v>-3.5483797058707689E-3</v>
      </c>
    </row>
    <row r="29" spans="1:3" ht="15" customHeight="1" x14ac:dyDescent="0.3">
      <c r="A29" s="31">
        <f>graduation_data!A29</f>
        <v>47</v>
      </c>
      <c r="B29" s="32">
        <f>B28+graduation_data!E29-graduation_data!F29</f>
        <v>1.0796965378050027E-2</v>
      </c>
      <c r="C29" s="32">
        <f>C28+graduation_data!E29-graduation_data!G29</f>
        <v>-3.2803563758003751E-3</v>
      </c>
    </row>
    <row r="30" spans="1:3" ht="15" customHeight="1" x14ac:dyDescent="0.3">
      <c r="A30" s="31">
        <f>graduation_data!A30</f>
        <v>48</v>
      </c>
      <c r="B30" s="32">
        <f>B29+graduation_data!E30-graduation_data!F30</f>
        <v>2.2041109963270133E-2</v>
      </c>
      <c r="C30" s="32">
        <f>C29+graduation_data!E30-graduation_data!G30</f>
        <v>4.8373297472503254E-3</v>
      </c>
    </row>
    <row r="31" spans="1:3" ht="15" customHeight="1" x14ac:dyDescent="0.3">
      <c r="A31" s="31">
        <f>graduation_data!A31</f>
        <v>49</v>
      </c>
      <c r="B31" s="32">
        <f>B30+graduation_data!E31-graduation_data!F31</f>
        <v>1.0972840618340134E-2</v>
      </c>
      <c r="C31" s="32">
        <f>C30+graduation_data!E31-graduation_data!G31</f>
        <v>-9.3489553503340733E-3</v>
      </c>
    </row>
    <row r="32" spans="1:3" ht="15" customHeight="1" x14ac:dyDescent="0.3">
      <c r="A32" s="31">
        <f>graduation_data!A32</f>
        <v>50</v>
      </c>
      <c r="B32" s="32">
        <f>B31+graduation_data!E32-graduation_data!F32</f>
        <v>-1.0896439507692764E-2</v>
      </c>
      <c r="C32" s="32">
        <f>C31+graduation_data!E32-graduation_data!G32</f>
        <v>-3.4224161240920273E-2</v>
      </c>
    </row>
    <row r="33" spans="1:3" ht="15" customHeight="1" x14ac:dyDescent="0.3">
      <c r="A33" s="31">
        <f>graduation_data!A33</f>
        <v>51</v>
      </c>
      <c r="B33" s="32">
        <f>B32+graduation_data!E33-graduation_data!F33</f>
        <v>9.1822128059903321E-3</v>
      </c>
      <c r="C33" s="32">
        <f>C32+graduation_data!E33-graduation_data!G33</f>
        <v>-1.6903587488324968E-2</v>
      </c>
    </row>
    <row r="34" spans="1:3" ht="15" customHeight="1" x14ac:dyDescent="0.3">
      <c r="A34" s="31">
        <f>graduation_data!A34</f>
        <v>52</v>
      </c>
      <c r="B34" s="32">
        <f>B33+graduation_data!E34-graduation_data!F34</f>
        <v>-2.2495762341626861E-2</v>
      </c>
      <c r="C34" s="32">
        <f>C33+graduation_data!E34-graduation_data!G34</f>
        <v>-5.0907558179956472E-2</v>
      </c>
    </row>
    <row r="35" spans="1:3" ht="15" customHeight="1" x14ac:dyDescent="0.3">
      <c r="A35" s="31">
        <f>graduation_data!A35</f>
        <v>53</v>
      </c>
      <c r="B35" s="32">
        <f>B34+graduation_data!E35-graduation_data!F35</f>
        <v>2.5773591001284346E-3</v>
      </c>
      <c r="C35" s="32">
        <f>C34+graduation_data!E35-graduation_data!G35</f>
        <v>-2.7494328066873769E-2</v>
      </c>
    </row>
    <row r="36" spans="1:3" ht="15" customHeight="1" x14ac:dyDescent="0.3">
      <c r="A36" s="31">
        <f>graduation_data!A36</f>
        <v>54</v>
      </c>
      <c r="B36" s="32">
        <f>B35+graduation_data!E36-graduation_data!F36</f>
        <v>3.3153141251744428E-2</v>
      </c>
      <c r="C36" s="32">
        <f>C35+graduation_data!E36-graduation_data!G36</f>
        <v>2.3866978290060376E-3</v>
      </c>
    </row>
    <row r="37" spans="1:3" ht="15" customHeight="1" x14ac:dyDescent="0.3">
      <c r="A37" s="31">
        <f>graduation_data!A37</f>
        <v>55</v>
      </c>
      <c r="B37" s="32">
        <f>B36+graduation_data!E37-graduation_data!F37</f>
        <v>2.1455488281159632E-2</v>
      </c>
      <c r="C37" s="32">
        <f>C36+graduation_data!E37-graduation_data!G37</f>
        <v>-8.683650975160967E-3</v>
      </c>
    </row>
    <row r="38" spans="1:3" ht="15" customHeight="1" x14ac:dyDescent="0.3">
      <c r="A38" s="31">
        <f>graduation_data!A38</f>
        <v>56</v>
      </c>
      <c r="B38" s="32">
        <f>B37+graduation_data!E38-graduation_data!F38</f>
        <v>8.5220253429953152E-4</v>
      </c>
      <c r="C38" s="32">
        <f>C37+graduation_data!E38-graduation_data!G38</f>
        <v>-2.6934475494806459E-2</v>
      </c>
    </row>
    <row r="39" spans="1:3" ht="15" customHeight="1" x14ac:dyDescent="0.3">
      <c r="A39" s="31">
        <f>graduation_data!A39</f>
        <v>57</v>
      </c>
      <c r="B39" s="32">
        <f>B38+graduation_data!E39-graduation_data!F39</f>
        <v>-2.3024651692486575E-2</v>
      </c>
      <c r="C39" s="32">
        <f>C38+graduation_data!E39-graduation_data!G39</f>
        <v>-4.6277165894991562E-2</v>
      </c>
    </row>
    <row r="40" spans="1:3" ht="15" customHeight="1" x14ac:dyDescent="0.3">
      <c r="A40" s="31">
        <f>graduation_data!A40</f>
        <v>58</v>
      </c>
      <c r="B40" s="32">
        <f>B39+graduation_data!E40-graduation_data!F40</f>
        <v>-1.5493436911544367E-2</v>
      </c>
      <c r="C40" s="32">
        <f>C39+graduation_data!E40-graduation_data!G40</f>
        <v>-3.1505057502308961E-2</v>
      </c>
    </row>
    <row r="41" spans="1:3" ht="15" customHeight="1" x14ac:dyDescent="0.3">
      <c r="A41" s="31">
        <f>graduation_data!A41</f>
        <v>59</v>
      </c>
      <c r="B41" s="32">
        <f>B40+graduation_data!E41-graduation_data!F41</f>
        <v>-1.7690667660096068E-2</v>
      </c>
      <c r="C41" s="32">
        <f>C40+graduation_data!E41-graduation_data!G41</f>
        <v>-2.3148259798690257E-2</v>
      </c>
    </row>
    <row r="42" spans="1:3" ht="15" customHeight="1" x14ac:dyDescent="0.3">
      <c r="A42" s="31">
        <f>graduation_data!A42</f>
        <v>60</v>
      </c>
      <c r="B42" s="32">
        <f>B41+graduation_data!E42-graduation_data!F42</f>
        <v>2.9748313631393353E-4</v>
      </c>
      <c r="C42" s="32">
        <f>C41+graduation_data!E42-graduation_data!G42</f>
        <v>9.3956728737949469E-3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graduation_data</vt:lpstr>
      <vt:lpstr>Mortality</vt:lpstr>
      <vt:lpstr>Assurance Factors</vt:lpstr>
      <vt:lpstr>Annuity Factors</vt:lpstr>
      <vt:lpstr>EPV of Benefits</vt:lpstr>
      <vt:lpstr>Premium</vt:lpstr>
      <vt:lpstr>Summary</vt:lpstr>
      <vt:lpstr>_Helpers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cheshta arora</dc:creator>
  <dc:description/>
  <cp:lastModifiedBy>cheshta arora</cp:lastModifiedBy>
  <cp:revision>2</cp:revision>
  <dcterms:created xsi:type="dcterms:W3CDTF">2026-10-02T07:32:09Z</dcterms:created>
  <dcterms:modified xsi:type="dcterms:W3CDTF">2026-10-06T07:37:39Z</dcterms:modified>
  <dc:language>en-US</dc:language>
</cp:coreProperties>
</file>