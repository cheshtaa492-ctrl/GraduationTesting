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69b7bf5a8e99df/Desktop/Graduation testing/Script/"/>
    </mc:Choice>
  </mc:AlternateContent>
  <xr:revisionPtr revIDLastSave="186" documentId="8_{5D3F6585-1E32-496B-A5C5-6A796D7D687C}" xr6:coauthVersionLast="47" xr6:coauthVersionMax="47" xr10:uidLastSave="{F912231D-C9C0-41D9-B002-08355373D11E}"/>
  <bookViews>
    <workbookView xWindow="-108" yWindow="-108" windowWidth="23256" windowHeight="12456" firstSheet="1" activeTab="5" xr2:uid="{7BBA3E28-3F18-4987-8B18-25AC7B243952}"/>
  </bookViews>
  <sheets>
    <sheet name="graduation_data" sheetId="1" r:id="rId1"/>
    <sheet name="Mortality" sheetId="3" r:id="rId2"/>
    <sheet name="Assurance FActors" sheetId="2" r:id="rId3"/>
    <sheet name="Annuity factors" sheetId="4" r:id="rId4"/>
    <sheet name="EPV of Benefits" sheetId="5" r:id="rId5"/>
    <sheet name="Premium" sheetId="7" r:id="rId6"/>
    <sheet name="Comparision" sheetId="6" r:id="rId7"/>
  </sheets>
  <calcPr calcId="0" calcCompleted="0"/>
</workbook>
</file>

<file path=xl/calcChain.xml><?xml version="1.0" encoding="utf-8"?>
<calcChain xmlns="http://schemas.openxmlformats.org/spreadsheetml/2006/main">
  <c r="F16" i="3" l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15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N17" i="3"/>
  <c r="N18" i="3"/>
  <c r="N19" i="3"/>
  <c r="N25" i="3"/>
  <c r="N26" i="3"/>
  <c r="N27" i="3"/>
  <c r="N34" i="3"/>
  <c r="N35" i="3"/>
  <c r="N42" i="3"/>
  <c r="N43" i="3"/>
  <c r="N50" i="3"/>
  <c r="N51" i="3"/>
  <c r="J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14" i="3"/>
  <c r="H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14" i="3"/>
  <c r="H15" i="3" s="1"/>
  <c r="F14" i="3"/>
  <c r="D15" i="3"/>
  <c r="N15" i="3" s="1"/>
  <c r="D16" i="3"/>
  <c r="N16" i="3" s="1"/>
  <c r="D17" i="3"/>
  <c r="D18" i="3"/>
  <c r="D19" i="3"/>
  <c r="D20" i="3"/>
  <c r="N20" i="3" s="1"/>
  <c r="D21" i="3"/>
  <c r="N21" i="3" s="1"/>
  <c r="D22" i="3"/>
  <c r="N22" i="3" s="1"/>
  <c r="D23" i="3"/>
  <c r="N23" i="3" s="1"/>
  <c r="D24" i="3"/>
  <c r="N24" i="3" s="1"/>
  <c r="D25" i="3"/>
  <c r="D26" i="3"/>
  <c r="D27" i="3"/>
  <c r="D28" i="3"/>
  <c r="N28" i="3" s="1"/>
  <c r="D29" i="3"/>
  <c r="N29" i="3" s="1"/>
  <c r="D30" i="3"/>
  <c r="N30" i="3" s="1"/>
  <c r="D31" i="3"/>
  <c r="N31" i="3" s="1"/>
  <c r="D32" i="3"/>
  <c r="N32" i="3" s="1"/>
  <c r="D33" i="3"/>
  <c r="N33" i="3" s="1"/>
  <c r="D34" i="3"/>
  <c r="D35" i="3"/>
  <c r="D36" i="3"/>
  <c r="N36" i="3" s="1"/>
  <c r="D37" i="3"/>
  <c r="N37" i="3" s="1"/>
  <c r="D38" i="3"/>
  <c r="N38" i="3" s="1"/>
  <c r="D39" i="3"/>
  <c r="N39" i="3" s="1"/>
  <c r="D40" i="3"/>
  <c r="N40" i="3" s="1"/>
  <c r="D41" i="3"/>
  <c r="N41" i="3" s="1"/>
  <c r="D42" i="3"/>
  <c r="D43" i="3"/>
  <c r="D44" i="3"/>
  <c r="N44" i="3" s="1"/>
  <c r="D45" i="3"/>
  <c r="N45" i="3" s="1"/>
  <c r="D46" i="3"/>
  <c r="N46" i="3" s="1"/>
  <c r="D47" i="3"/>
  <c r="N47" i="3" s="1"/>
  <c r="D48" i="3"/>
  <c r="N48" i="3" s="1"/>
  <c r="D49" i="3"/>
  <c r="N49" i="3" s="1"/>
  <c r="D50" i="3"/>
  <c r="D51" i="3"/>
  <c r="D52" i="3"/>
  <c r="N52" i="3" s="1"/>
  <c r="D53" i="3"/>
  <c r="N53" i="3" s="1"/>
  <c r="D54" i="3"/>
  <c r="N54" i="3" s="1"/>
  <c r="D14" i="3"/>
  <c r="N14" i="3" s="1"/>
  <c r="C6" i="3"/>
  <c r="C4" i="3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9" i="2"/>
  <c r="H10" i="4" a="1"/>
  <c r="H14" i="4" a="1"/>
  <c r="H18" i="4" a="1"/>
  <c r="H22" i="4" a="1"/>
  <c r="H26" i="4" a="1"/>
  <c r="H30" i="4" a="1"/>
  <c r="H34" i="4" a="1"/>
  <c r="H38" i="4" a="1"/>
  <c r="H15" i="4" a="1"/>
  <c r="H11" i="4" a="1"/>
  <c r="H19" i="4" a="1"/>
  <c r="H23" i="4" a="1"/>
  <c r="H27" i="4" a="1"/>
  <c r="H31" i="4" a="1"/>
  <c r="H35" i="4" a="1"/>
  <c r="H39" i="4" a="1"/>
  <c r="H16" i="4" a="1"/>
  <c r="H20" i="4" a="1"/>
  <c r="H24" i="4" a="1"/>
  <c r="H28" i="4" a="1"/>
  <c r="H12" i="4" a="1"/>
  <c r="H17" i="4" a="1"/>
  <c r="H25" i="4" a="1"/>
  <c r="H33" i="4" a="1"/>
  <c r="H36" i="4" a="1"/>
  <c r="H13" i="4" a="1"/>
  <c r="H21" i="4" a="1"/>
  <c r="H29" i="4" a="1"/>
  <c r="H37" i="4" a="1"/>
  <c r="H32" i="4" a="1"/>
  <c r="H9" i="4" a="1"/>
  <c r="G10" i="4" a="1"/>
  <c r="G14" i="4" a="1"/>
  <c r="G18" i="4" a="1"/>
  <c r="G22" i="4" a="1"/>
  <c r="G26" i="4" a="1"/>
  <c r="G30" i="4" a="1"/>
  <c r="G34" i="4" a="1"/>
  <c r="G38" i="4" a="1"/>
  <c r="G23" i="4" a="1"/>
  <c r="G11" i="4" a="1"/>
  <c r="G15" i="4" a="1"/>
  <c r="G19" i="4" a="1"/>
  <c r="G27" i="4" a="1"/>
  <c r="G31" i="4" a="1"/>
  <c r="G35" i="4" a="1"/>
  <c r="G39" i="4" a="1"/>
  <c r="G12" i="4" a="1"/>
  <c r="G16" i="4" a="1"/>
  <c r="G20" i="4" a="1"/>
  <c r="G24" i="4" a="1"/>
  <c r="G28" i="4" a="1"/>
  <c r="G32" i="4" a="1"/>
  <c r="G36" i="4" a="1"/>
  <c r="G13" i="4" a="1"/>
  <c r="G17" i="4" a="1"/>
  <c r="G21" i="4" a="1"/>
  <c r="G25" i="4" a="1"/>
  <c r="G29" i="4" a="1"/>
  <c r="G33" i="4" a="1"/>
  <c r="G37" i="4" a="1"/>
  <c r="G9" i="4" a="1"/>
  <c r="F10" i="4" a="1"/>
  <c r="F14" i="4" a="1"/>
  <c r="F18" i="4" a="1"/>
  <c r="F22" i="4" a="1"/>
  <c r="F26" i="4" a="1"/>
  <c r="F30" i="4" a="1"/>
  <c r="F34" i="4" a="1"/>
  <c r="F38" i="4" a="1"/>
  <c r="F19" i="4" a="1"/>
  <c r="F23" i="4" a="1"/>
  <c r="F27" i="4" a="1"/>
  <c r="F31" i="4" a="1"/>
  <c r="F39" i="4" a="1"/>
  <c r="F20" i="4" a="1"/>
  <c r="F24" i="4" a="1"/>
  <c r="F28" i="4" a="1"/>
  <c r="F32" i="4" a="1"/>
  <c r="F36" i="4" a="1"/>
  <c r="F17" i="4" a="1"/>
  <c r="F21" i="4" a="1"/>
  <c r="F25" i="4" a="1"/>
  <c r="F29" i="4" a="1"/>
  <c r="F33" i="4" a="1"/>
  <c r="F37" i="4" a="1"/>
  <c r="F35" i="4" a="1"/>
  <c r="F11" i="4" a="1"/>
  <c r="F16" i="4" a="1"/>
  <c r="F12" i="4" a="1"/>
  <c r="F13" i="4" a="1"/>
  <c r="F15" i="4" a="1"/>
  <c r="F9" i="4" a="1"/>
  <c r="G10" i="2" a="1"/>
  <c r="G14" i="2" a="1"/>
  <c r="G18" i="2" a="1"/>
  <c r="G22" i="2" a="1"/>
  <c r="G26" i="2" a="1"/>
  <c r="G30" i="2" a="1"/>
  <c r="G34" i="2" a="1"/>
  <c r="G38" i="2" a="1"/>
  <c r="G20" i="2" a="1"/>
  <c r="G15" i="2" a="1"/>
  <c r="G11" i="2" a="1"/>
  <c r="G19" i="2" a="1"/>
  <c r="G23" i="2" a="1"/>
  <c r="G27" i="2" a="1"/>
  <c r="G31" i="2" a="1"/>
  <c r="G35" i="2" a="1"/>
  <c r="G39" i="2" a="1"/>
  <c r="G32" i="2" a="1"/>
  <c r="G16" i="2" a="1"/>
  <c r="G12" i="2" a="1"/>
  <c r="G17" i="2" a="1"/>
  <c r="G37" i="2" a="1"/>
  <c r="G28" i="2" a="1"/>
  <c r="G13" i="2" a="1"/>
  <c r="G21" i="2" a="1"/>
  <c r="G25" i="2" a="1"/>
  <c r="G29" i="2" a="1"/>
  <c r="G33" i="2" a="1"/>
  <c r="G24" i="2" a="1"/>
  <c r="G36" i="2" a="1"/>
  <c r="G9" i="2" a="1"/>
  <c r="F10" i="2" a="1"/>
  <c r="F14" i="2" a="1"/>
  <c r="F18" i="2" a="1"/>
  <c r="F22" i="2" a="1"/>
  <c r="F26" i="2" a="1"/>
  <c r="F30" i="2" a="1"/>
  <c r="F34" i="2" a="1"/>
  <c r="F38" i="2" a="1"/>
  <c r="F29" i="2" a="1"/>
  <c r="F27" i="2" a="1"/>
  <c r="F11" i="2" a="1"/>
  <c r="F15" i="2" a="1"/>
  <c r="F19" i="2" a="1"/>
  <c r="F23" i="2" a="1"/>
  <c r="F31" i="2" a="1"/>
  <c r="F35" i="2" a="1"/>
  <c r="F39" i="2" a="1"/>
  <c r="F25" i="2" a="1"/>
  <c r="F37" i="2" a="1"/>
  <c r="F28" i="2" a="1"/>
  <c r="F12" i="2" a="1"/>
  <c r="F16" i="2" a="1"/>
  <c r="F20" i="2" a="1"/>
  <c r="F24" i="2" a="1"/>
  <c r="F32" i="2" a="1"/>
  <c r="F36" i="2" a="1"/>
  <c r="F21" i="2" a="1"/>
  <c r="F33" i="2" a="1"/>
  <c r="F17" i="2" a="1"/>
  <c r="F13" i="2" a="1"/>
  <c r="F9" i="2" a="1"/>
  <c r="E39" i="2" a="1"/>
  <c r="E10" i="2" a="1"/>
  <c r="E14" i="2" a="1"/>
  <c r="E18" i="2" a="1"/>
  <c r="E22" i="2" a="1"/>
  <c r="E26" i="2" a="1"/>
  <c r="E30" i="2" a="1"/>
  <c r="E34" i="2" a="1"/>
  <c r="E38" i="2" a="1"/>
  <c r="E29" i="2" a="1"/>
  <c r="E15" i="2" a="1"/>
  <c r="E13" i="2" a="1"/>
  <c r="E25" i="2" a="1"/>
  <c r="E37" i="2" a="1"/>
  <c r="E11" i="2" a="1"/>
  <c r="E19" i="2" a="1"/>
  <c r="E23" i="2" a="1"/>
  <c r="E27" i="2" a="1"/>
  <c r="E31" i="2" a="1"/>
  <c r="E35" i="2" a="1"/>
  <c r="E20" i="2" a="1"/>
  <c r="E24" i="2" a="1"/>
  <c r="E28" i="2" a="1"/>
  <c r="E32" i="2" a="1"/>
  <c r="E36" i="2" a="1"/>
  <c r="E17" i="2" a="1"/>
  <c r="E21" i="2" a="1"/>
  <c r="E33" i="2" a="1"/>
  <c r="E16" i="2" a="1"/>
  <c r="E12" i="2" a="1"/>
  <c r="E9" i="2" a="1"/>
  <c r="H32" i="4" l="1"/>
  <c r="H37" i="4"/>
  <c r="H29" i="4"/>
  <c r="H21" i="4"/>
  <c r="H13" i="4"/>
  <c r="H36" i="4"/>
  <c r="H33" i="4"/>
  <c r="H25" i="4"/>
  <c r="H17" i="4"/>
  <c r="H12" i="4"/>
  <c r="H28" i="4"/>
  <c r="H24" i="4"/>
  <c r="H20" i="4"/>
  <c r="H16" i="4"/>
  <c r="H39" i="4"/>
  <c r="H35" i="4"/>
  <c r="H31" i="4"/>
  <c r="H27" i="4"/>
  <c r="H23" i="4"/>
  <c r="H19" i="4"/>
  <c r="H11" i="4"/>
  <c r="H15" i="4"/>
  <c r="H38" i="4"/>
  <c r="H34" i="4"/>
  <c r="H30" i="4"/>
  <c r="H26" i="4"/>
  <c r="H22" i="4"/>
  <c r="H18" i="4"/>
  <c r="H14" i="4"/>
  <c r="H10" i="4"/>
  <c r="H9" i="4"/>
  <c r="G37" i="4"/>
  <c r="G33" i="4"/>
  <c r="G29" i="4"/>
  <c r="G25" i="4"/>
  <c r="G21" i="4"/>
  <c r="G17" i="4"/>
  <c r="G13" i="4"/>
  <c r="G36" i="4"/>
  <c r="G32" i="4"/>
  <c r="G28" i="4"/>
  <c r="G24" i="4"/>
  <c r="G20" i="4"/>
  <c r="G16" i="4"/>
  <c r="G12" i="4"/>
  <c r="G39" i="4"/>
  <c r="G35" i="4"/>
  <c r="G31" i="4"/>
  <c r="G27" i="4"/>
  <c r="G19" i="4"/>
  <c r="G15" i="4"/>
  <c r="G11" i="4"/>
  <c r="G23" i="4"/>
  <c r="G38" i="4"/>
  <c r="G34" i="4"/>
  <c r="G30" i="4"/>
  <c r="G26" i="4"/>
  <c r="G22" i="4"/>
  <c r="G18" i="4"/>
  <c r="G14" i="4"/>
  <c r="G10" i="4"/>
  <c r="G9" i="4"/>
  <c r="F15" i="4"/>
  <c r="F13" i="4"/>
  <c r="F12" i="4"/>
  <c r="F16" i="4"/>
  <c r="F11" i="4"/>
  <c r="F35" i="4"/>
  <c r="F37" i="4"/>
  <c r="F33" i="4"/>
  <c r="F29" i="4"/>
  <c r="F25" i="4"/>
  <c r="F21" i="4"/>
  <c r="F17" i="4"/>
  <c r="F36" i="4"/>
  <c r="F32" i="4"/>
  <c r="F28" i="4"/>
  <c r="F24" i="4"/>
  <c r="F20" i="4"/>
  <c r="F39" i="4"/>
  <c r="F31" i="4"/>
  <c r="F27" i="4"/>
  <c r="F23" i="4"/>
  <c r="F19" i="4"/>
  <c r="F38" i="4"/>
  <c r="F34" i="4"/>
  <c r="F30" i="4"/>
  <c r="F26" i="4"/>
  <c r="F22" i="4"/>
  <c r="F18" i="4"/>
  <c r="F14" i="4"/>
  <c r="F10" i="4"/>
  <c r="F9" i="4"/>
  <c r="G36" i="2"/>
  <c r="G38" i="5" s="1"/>
  <c r="H38" i="7" s="1"/>
  <c r="G24" i="2"/>
  <c r="G26" i="5" s="1"/>
  <c r="H26" i="7" s="1"/>
  <c r="G33" i="2"/>
  <c r="G35" i="5" s="1"/>
  <c r="H35" i="7" s="1"/>
  <c r="G29" i="2"/>
  <c r="G31" i="5" s="1"/>
  <c r="H31" i="7" s="1"/>
  <c r="G25" i="2"/>
  <c r="G27" i="5" s="1"/>
  <c r="G21" i="2"/>
  <c r="G23" i="5" s="1"/>
  <c r="H23" i="7" s="1"/>
  <c r="G13" i="2"/>
  <c r="G15" i="5" s="1"/>
  <c r="H15" i="7" s="1"/>
  <c r="G28" i="2"/>
  <c r="G30" i="5" s="1"/>
  <c r="H30" i="7" s="1"/>
  <c r="G37" i="2"/>
  <c r="G39" i="5" s="1"/>
  <c r="H39" i="7" s="1"/>
  <c r="G17" i="2"/>
  <c r="G19" i="5" s="1"/>
  <c r="H19" i="7" s="1"/>
  <c r="G12" i="2"/>
  <c r="G14" i="5" s="1"/>
  <c r="H14" i="7" s="1"/>
  <c r="G16" i="2"/>
  <c r="G18" i="5" s="1"/>
  <c r="G32" i="2"/>
  <c r="G34" i="5" s="1"/>
  <c r="H34" i="7" s="1"/>
  <c r="G39" i="2"/>
  <c r="G41" i="5" s="1"/>
  <c r="G35" i="2"/>
  <c r="G37" i="5" s="1"/>
  <c r="G31" i="2"/>
  <c r="G33" i="5" s="1"/>
  <c r="H33" i="7" s="1"/>
  <c r="G27" i="2"/>
  <c r="G29" i="5" s="1"/>
  <c r="H29" i="7" s="1"/>
  <c r="G23" i="2"/>
  <c r="G25" i="5" s="1"/>
  <c r="H25" i="7" s="1"/>
  <c r="G19" i="2"/>
  <c r="G21" i="5" s="1"/>
  <c r="H21" i="7" s="1"/>
  <c r="G11" i="2"/>
  <c r="G13" i="5" s="1"/>
  <c r="H13" i="7" s="1"/>
  <c r="G15" i="2"/>
  <c r="G17" i="5" s="1"/>
  <c r="G20" i="2"/>
  <c r="G22" i="5" s="1"/>
  <c r="H22" i="7" s="1"/>
  <c r="G38" i="2"/>
  <c r="G40" i="5" s="1"/>
  <c r="G34" i="2"/>
  <c r="G36" i="5" s="1"/>
  <c r="G30" i="2"/>
  <c r="G32" i="5" s="1"/>
  <c r="H32" i="7" s="1"/>
  <c r="G26" i="2"/>
  <c r="G28" i="5" s="1"/>
  <c r="H28" i="7" s="1"/>
  <c r="G22" i="2"/>
  <c r="G24" i="5" s="1"/>
  <c r="H24" i="7" s="1"/>
  <c r="G18" i="2"/>
  <c r="G20" i="5" s="1"/>
  <c r="H20" i="7" s="1"/>
  <c r="G14" i="2"/>
  <c r="G16" i="5" s="1"/>
  <c r="H16" i="7" s="1"/>
  <c r="G10" i="2"/>
  <c r="G12" i="5" s="1"/>
  <c r="G9" i="2"/>
  <c r="G11" i="5" s="1"/>
  <c r="F13" i="2"/>
  <c r="F15" i="5" s="1"/>
  <c r="F17" i="2"/>
  <c r="F19" i="5" s="1"/>
  <c r="G19" i="7" s="1"/>
  <c r="F33" i="2"/>
  <c r="F35" i="5" s="1"/>
  <c r="G35" i="7" s="1"/>
  <c r="F21" i="2"/>
  <c r="F23" i="5" s="1"/>
  <c r="G23" i="7" s="1"/>
  <c r="F36" i="2"/>
  <c r="F38" i="5" s="1"/>
  <c r="F32" i="2"/>
  <c r="F34" i="5" s="1"/>
  <c r="F24" i="2"/>
  <c r="F26" i="5" s="1"/>
  <c r="G26" i="7" s="1"/>
  <c r="F20" i="2"/>
  <c r="F22" i="5" s="1"/>
  <c r="G22" i="7" s="1"/>
  <c r="F16" i="2"/>
  <c r="F18" i="5" s="1"/>
  <c r="G18" i="7" s="1"/>
  <c r="F12" i="2"/>
  <c r="F14" i="5" s="1"/>
  <c r="G14" i="7" s="1"/>
  <c r="F28" i="2"/>
  <c r="F30" i="5" s="1"/>
  <c r="G30" i="7" s="1"/>
  <c r="F37" i="2"/>
  <c r="F39" i="5" s="1"/>
  <c r="G39" i="7" s="1"/>
  <c r="F25" i="2"/>
  <c r="F27" i="5" s="1"/>
  <c r="G27" i="7" s="1"/>
  <c r="F39" i="2"/>
  <c r="F41" i="5" s="1"/>
  <c r="F35" i="2"/>
  <c r="F37" i="5" s="1"/>
  <c r="F31" i="2"/>
  <c r="F33" i="5" s="1"/>
  <c r="F23" i="2"/>
  <c r="F25" i="5" s="1"/>
  <c r="G25" i="7" s="1"/>
  <c r="F19" i="2"/>
  <c r="F21" i="5" s="1"/>
  <c r="G21" i="7" s="1"/>
  <c r="F15" i="2"/>
  <c r="F17" i="5" s="1"/>
  <c r="G17" i="7" s="1"/>
  <c r="F11" i="2"/>
  <c r="F13" i="5" s="1"/>
  <c r="G13" i="7" s="1"/>
  <c r="F27" i="2"/>
  <c r="F29" i="5" s="1"/>
  <c r="G29" i="7" s="1"/>
  <c r="F29" i="2"/>
  <c r="F31" i="5" s="1"/>
  <c r="G31" i="7" s="1"/>
  <c r="F38" i="2"/>
  <c r="F40" i="5" s="1"/>
  <c r="F34" i="2"/>
  <c r="F36" i="5" s="1"/>
  <c r="F30" i="2"/>
  <c r="F32" i="5" s="1"/>
  <c r="F26" i="2"/>
  <c r="F28" i="5" s="1"/>
  <c r="G28" i="7" s="1"/>
  <c r="F22" i="2"/>
  <c r="F24" i="5" s="1"/>
  <c r="G24" i="7" s="1"/>
  <c r="F18" i="2"/>
  <c r="F20" i="5" s="1"/>
  <c r="G20" i="7" s="1"/>
  <c r="F14" i="2"/>
  <c r="F16" i="5" s="1"/>
  <c r="G16" i="7" s="1"/>
  <c r="F10" i="2"/>
  <c r="F12" i="5" s="1"/>
  <c r="F9" i="2"/>
  <c r="F11" i="5" s="1"/>
  <c r="E39" i="2"/>
  <c r="E41" i="5" s="1"/>
  <c r="E12" i="2"/>
  <c r="E14" i="5" s="1"/>
  <c r="F14" i="7" s="1"/>
  <c r="E16" i="2"/>
  <c r="E18" i="5" s="1"/>
  <c r="F18" i="7" s="1"/>
  <c r="E33" i="2"/>
  <c r="E35" i="5" s="1"/>
  <c r="E21" i="2"/>
  <c r="E23" i="5" s="1"/>
  <c r="F23" i="7" s="1"/>
  <c r="E17" i="2"/>
  <c r="E19" i="5" s="1"/>
  <c r="F19" i="7" s="1"/>
  <c r="E36" i="2"/>
  <c r="E38" i="5" s="1"/>
  <c r="F38" i="7" s="1"/>
  <c r="E32" i="2"/>
  <c r="E34" i="5" s="1"/>
  <c r="E28" i="2"/>
  <c r="E30" i="5" s="1"/>
  <c r="E24" i="2"/>
  <c r="E26" i="5" s="1"/>
  <c r="E20" i="2"/>
  <c r="E22" i="5" s="1"/>
  <c r="E35" i="2"/>
  <c r="E37" i="5" s="1"/>
  <c r="F37" i="7" s="1"/>
  <c r="E31" i="2"/>
  <c r="E33" i="5" s="1"/>
  <c r="F33" i="7" s="1"/>
  <c r="E27" i="2"/>
  <c r="E29" i="5" s="1"/>
  <c r="F29" i="7" s="1"/>
  <c r="E23" i="2"/>
  <c r="E25" i="5" s="1"/>
  <c r="F25" i="7" s="1"/>
  <c r="E19" i="2"/>
  <c r="E21" i="5" s="1"/>
  <c r="E11" i="2"/>
  <c r="E13" i="5" s="1"/>
  <c r="F13" i="7" s="1"/>
  <c r="E37" i="2"/>
  <c r="E39" i="5" s="1"/>
  <c r="F39" i="7" s="1"/>
  <c r="E25" i="2"/>
  <c r="E27" i="5" s="1"/>
  <c r="E13" i="2"/>
  <c r="E15" i="5" s="1"/>
  <c r="E15" i="2"/>
  <c r="E17" i="5" s="1"/>
  <c r="F17" i="7" s="1"/>
  <c r="E29" i="2"/>
  <c r="E31" i="5" s="1"/>
  <c r="E38" i="2"/>
  <c r="E40" i="5" s="1"/>
  <c r="F40" i="7" s="1"/>
  <c r="E34" i="2"/>
  <c r="E36" i="5" s="1"/>
  <c r="E30" i="2"/>
  <c r="E32" i="5" s="1"/>
  <c r="E26" i="2"/>
  <c r="E28" i="5" s="1"/>
  <c r="E22" i="2"/>
  <c r="E24" i="5" s="1"/>
  <c r="F24" i="7" s="1"/>
  <c r="E18" i="2"/>
  <c r="E20" i="5" s="1"/>
  <c r="F20" i="7" s="1"/>
  <c r="E14" i="2"/>
  <c r="E16" i="5" s="1"/>
  <c r="F16" i="7" s="1"/>
  <c r="E10" i="2"/>
  <c r="E12" i="5" s="1"/>
  <c r="E9" i="2"/>
  <c r="E11" i="5" s="1"/>
  <c r="F11" i="7" s="1"/>
  <c r="P14" i="3"/>
  <c r="H16" i="3"/>
  <c r="P15" i="3"/>
  <c r="I2" i="3"/>
  <c r="J15" i="3"/>
  <c r="O16" i="3"/>
  <c r="O14" i="3"/>
  <c r="O15" i="3"/>
  <c r="G36" i="7" l="1"/>
  <c r="H11" i="7"/>
  <c r="H40" i="7"/>
  <c r="G37" i="7"/>
  <c r="H12" i="7"/>
  <c r="H41" i="7"/>
  <c r="H17" i="7"/>
  <c r="G38" i="7"/>
  <c r="H18" i="7"/>
  <c r="H36" i="7"/>
  <c r="H37" i="7"/>
  <c r="H27" i="7"/>
  <c r="F35" i="7"/>
  <c r="F30" i="7"/>
  <c r="G15" i="7"/>
  <c r="G11" i="7"/>
  <c r="G40" i="7"/>
  <c r="G12" i="7"/>
  <c r="G41" i="7"/>
  <c r="G32" i="7"/>
  <c r="G33" i="7"/>
  <c r="G34" i="7"/>
  <c r="F34" i="7"/>
  <c r="F21" i="7"/>
  <c r="F12" i="7"/>
  <c r="F27" i="7"/>
  <c r="F26" i="7"/>
  <c r="F32" i="7"/>
  <c r="F41" i="7"/>
  <c r="F22" i="7"/>
  <c r="F28" i="7"/>
  <c r="F36" i="7"/>
  <c r="F15" i="7"/>
  <c r="F31" i="7"/>
  <c r="H17" i="3"/>
  <c r="P16" i="3"/>
  <c r="J16" i="3"/>
  <c r="Q14" i="3"/>
  <c r="O17" i="3"/>
  <c r="J17" i="3" l="1"/>
  <c r="Q16" i="3"/>
  <c r="Q15" i="3"/>
  <c r="H18" i="3"/>
  <c r="P17" i="3"/>
  <c r="H19" i="3" l="1"/>
  <c r="P18" i="3"/>
  <c r="J18" i="3"/>
  <c r="Q17" i="3"/>
  <c r="O19" i="3"/>
  <c r="O18" i="3"/>
  <c r="J19" i="3" l="1"/>
  <c r="Q18" i="3"/>
  <c r="H20" i="3"/>
  <c r="P19" i="3"/>
  <c r="O20" i="3"/>
  <c r="H21" i="3" l="1"/>
  <c r="P20" i="3"/>
  <c r="J20" i="3"/>
  <c r="Q19" i="3"/>
  <c r="O21" i="3"/>
  <c r="J21" i="3" l="1"/>
  <c r="Q20" i="3"/>
  <c r="H22" i="3"/>
  <c r="P21" i="3"/>
  <c r="O22" i="3"/>
  <c r="H23" i="3" l="1"/>
  <c r="P22" i="3"/>
  <c r="J22" i="3"/>
  <c r="Q21" i="3"/>
  <c r="O23" i="3"/>
  <c r="J23" i="3" l="1"/>
  <c r="Q22" i="3"/>
  <c r="H24" i="3"/>
  <c r="P23" i="3"/>
  <c r="O24" i="3"/>
  <c r="H25" i="3" l="1"/>
  <c r="P24" i="3"/>
  <c r="J24" i="3"/>
  <c r="Q23" i="3"/>
  <c r="O25" i="3"/>
  <c r="J25" i="3" l="1"/>
  <c r="Q24" i="3"/>
  <c r="H26" i="3"/>
  <c r="P25" i="3"/>
  <c r="O26" i="3"/>
  <c r="H27" i="3" l="1"/>
  <c r="P26" i="3"/>
  <c r="J26" i="3"/>
  <c r="Q25" i="3"/>
  <c r="O27" i="3"/>
  <c r="J27" i="3" l="1"/>
  <c r="Q26" i="3"/>
  <c r="H28" i="3"/>
  <c r="P27" i="3"/>
  <c r="O28" i="3"/>
  <c r="H29" i="3" l="1"/>
  <c r="P28" i="3"/>
  <c r="J28" i="3"/>
  <c r="Q27" i="3"/>
  <c r="O29" i="3"/>
  <c r="J29" i="3" l="1"/>
  <c r="Q28" i="3"/>
  <c r="H30" i="3"/>
  <c r="P29" i="3"/>
  <c r="H31" i="3" l="1"/>
  <c r="P30" i="3"/>
  <c r="J30" i="3"/>
  <c r="Q29" i="3"/>
  <c r="O31" i="3"/>
  <c r="O30" i="3"/>
  <c r="J31" i="3" l="1"/>
  <c r="Q30" i="3"/>
  <c r="H32" i="3"/>
  <c r="P31" i="3"/>
  <c r="O32" i="3"/>
  <c r="H33" i="3" l="1"/>
  <c r="J32" i="3"/>
  <c r="Q31" i="3"/>
  <c r="O33" i="3"/>
  <c r="H34" i="3" l="1"/>
  <c r="P33" i="3"/>
  <c r="J33" i="3"/>
  <c r="Q32" i="3"/>
  <c r="P32" i="3"/>
  <c r="J34" i="3" l="1"/>
  <c r="Q33" i="3"/>
  <c r="H35" i="3"/>
  <c r="P34" i="3"/>
  <c r="O35" i="3"/>
  <c r="O34" i="3"/>
  <c r="H36" i="3" l="1"/>
  <c r="P35" i="3" s="1"/>
  <c r="J35" i="3"/>
  <c r="Q34" i="3"/>
  <c r="O36" i="3"/>
  <c r="J36" i="3" l="1"/>
  <c r="Q35" i="3"/>
  <c r="H37" i="3"/>
  <c r="P36" i="3"/>
  <c r="H38" i="3" l="1"/>
  <c r="P37" i="3"/>
  <c r="J37" i="3"/>
  <c r="Q36" i="3"/>
  <c r="O38" i="3"/>
  <c r="O37" i="3"/>
  <c r="J38" i="3" l="1"/>
  <c r="Q37" i="3" s="1"/>
  <c r="H39" i="3"/>
  <c r="P38" i="3"/>
  <c r="O39" i="3"/>
  <c r="H40" i="3" l="1"/>
  <c r="P39" i="3"/>
  <c r="J39" i="3"/>
  <c r="Q38" i="3"/>
  <c r="O40" i="3"/>
  <c r="J40" i="3" l="1"/>
  <c r="Q39" i="3"/>
  <c r="H41" i="3"/>
  <c r="O41" i="3"/>
  <c r="H42" i="3" l="1"/>
  <c r="P41" i="3"/>
  <c r="P40" i="3"/>
  <c r="J41" i="3"/>
  <c r="Q40" i="3"/>
  <c r="O42" i="3"/>
  <c r="J42" i="3" l="1"/>
  <c r="Q41" i="3"/>
  <c r="H43" i="3"/>
  <c r="P42" i="3"/>
  <c r="O43" i="3"/>
  <c r="H44" i="3" l="1"/>
  <c r="P43" i="3"/>
  <c r="J43" i="3"/>
  <c r="O44" i="3"/>
  <c r="J44" i="3" l="1"/>
  <c r="Q43" i="3"/>
  <c r="Q42" i="3"/>
  <c r="H45" i="3"/>
  <c r="P44" i="3"/>
  <c r="O45" i="3"/>
  <c r="H46" i="3" l="1"/>
  <c r="P45" i="3"/>
  <c r="J45" i="3"/>
  <c r="Q44" i="3"/>
  <c r="O46" i="3"/>
  <c r="J46" i="3" l="1"/>
  <c r="Q45" i="3"/>
  <c r="H47" i="3"/>
  <c r="P46" i="3"/>
  <c r="O47" i="3"/>
  <c r="H48" i="3" l="1"/>
  <c r="J47" i="3"/>
  <c r="O48" i="3"/>
  <c r="H49" i="3" l="1"/>
  <c r="P48" i="3" s="1"/>
  <c r="J48" i="3"/>
  <c r="Q47" i="3"/>
  <c r="Q46" i="3"/>
  <c r="P47" i="3"/>
  <c r="O49" i="3"/>
  <c r="J49" i="3" l="1"/>
  <c r="Q48" i="3" s="1"/>
  <c r="H50" i="3"/>
  <c r="P49" i="3"/>
  <c r="O50" i="3"/>
  <c r="H51" i="3" l="1"/>
  <c r="P50" i="3"/>
  <c r="J50" i="3"/>
  <c r="O51" i="3"/>
  <c r="J51" i="3" l="1"/>
  <c r="Q50" i="3"/>
  <c r="Q49" i="3"/>
  <c r="H52" i="3"/>
  <c r="P51" i="3"/>
  <c r="O52" i="3"/>
  <c r="H53" i="3" l="1"/>
  <c r="P52" i="3"/>
  <c r="J52" i="3"/>
  <c r="Q51" i="3"/>
  <c r="O54" i="3"/>
  <c r="O53" i="3"/>
  <c r="J53" i="3" l="1"/>
  <c r="Q52" i="3"/>
  <c r="H54" i="3"/>
  <c r="P54" i="3" s="1"/>
  <c r="P53" i="3"/>
  <c r="J54" i="3" l="1"/>
  <c r="Q54" i="3" s="1"/>
  <c r="Q5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<sst xmlns="http://schemas.openxmlformats.org/spreadsheetml/2006/main" count="51" uniqueCount="41">
  <si>
    <t>age</t>
  </si>
  <si>
    <t>etr</t>
  </si>
  <si>
    <t>true_mortality</t>
  </si>
  <si>
    <t>deaths</t>
  </si>
  <si>
    <t>crude_mortality</t>
  </si>
  <si>
    <t>graduated_splines</t>
  </si>
  <si>
    <t>zx</t>
  </si>
  <si>
    <t>zx_squared</t>
  </si>
  <si>
    <t>spline_zx</t>
  </si>
  <si>
    <t>zx_spline_squared</t>
  </si>
  <si>
    <t>sum Assured</t>
  </si>
  <si>
    <t>interst</t>
  </si>
  <si>
    <t>v</t>
  </si>
  <si>
    <t>policy years</t>
  </si>
  <si>
    <t>lx_crude</t>
  </si>
  <si>
    <t>lx_weighted</t>
  </si>
  <si>
    <t>px_weighted</t>
  </si>
  <si>
    <t>px_splines</t>
  </si>
  <si>
    <t>graduated_weighted</t>
  </si>
  <si>
    <t>lx_splines</t>
  </si>
  <si>
    <t>Expected Survivors at each age</t>
  </si>
  <si>
    <t>Sum</t>
  </si>
  <si>
    <t>Average</t>
  </si>
  <si>
    <t>Running Total</t>
  </si>
  <si>
    <t>Count</t>
  </si>
  <si>
    <t>Age</t>
  </si>
  <si>
    <t>Dx_crude</t>
  </si>
  <si>
    <t>DX_Graduated _Splines</t>
  </si>
  <si>
    <t>Dx_Graduated_Weighted</t>
  </si>
  <si>
    <t>crude</t>
  </si>
  <si>
    <t>Graduated_weighted</t>
  </si>
  <si>
    <t>Graduated_splines</t>
  </si>
  <si>
    <t>term (n)</t>
  </si>
  <si>
    <t>px_Crude</t>
  </si>
  <si>
    <t>Expected Present Value of benefits</t>
  </si>
  <si>
    <t>Crude</t>
  </si>
  <si>
    <t>Graduated _Weighted</t>
  </si>
  <si>
    <t>Graduated_ Splines</t>
  </si>
  <si>
    <t>Premium</t>
  </si>
  <si>
    <t>Graduated_Weighted</t>
  </si>
  <si>
    <t>Graduated_Splines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</si>
</sst>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44" fontId="0" fillId="0" borderId="0" xfId="1" applyFont="1"/>
    <xf numFmtId="9" fontId="0" fillId="0" borderId="0" xfId="0" applyNumberFormat="1"/>
    <xf numFmtId="0" fontId="0" fillId="33" borderId="0" xfId="0" applyFill="1"/>
    <xf numFmtId="4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Premium!$F$10</c:f>
              <c:strCache>
                <c:ptCount val="1"/>
                <c:pt idx="0">
                  <c:v>Crude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Premium!$E$11:$E$41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cat>
          <c:val>
            <c:numRef>
              <c:f>Premium!$F$11:$F$41</c:f>
              <c:numCache>
                <c:formatCode>_("₹"* #,##0.00_);_("₹"* \(#,##0.00\);_("₹"* "-"??_);_(@_)</c:formatCode>
                <c:ptCount val="31"/>
                <c:pt idx="0">
                  <c:v>704.54676093908984</c:v>
                </c:pt>
                <c:pt idx="1">
                  <c:v>732.17244408853674</c:v>
                </c:pt>
                <c:pt idx="2">
                  <c:v>698.80924855432033</c:v>
                </c:pt>
                <c:pt idx="3">
                  <c:v>695.87553365687495</c:v>
                </c:pt>
                <c:pt idx="4">
                  <c:v>754.00071678088329</c:v>
                </c:pt>
                <c:pt idx="5">
                  <c:v>783.93231601929654</c:v>
                </c:pt>
                <c:pt idx="6">
                  <c:v>815.59724054554033</c:v>
                </c:pt>
                <c:pt idx="7">
                  <c:v>842.97887719966172</c:v>
                </c:pt>
                <c:pt idx="8">
                  <c:v>901.78153873993199</c:v>
                </c:pt>
                <c:pt idx="9">
                  <c:v>932.15786990751496</c:v>
                </c:pt>
                <c:pt idx="10">
                  <c:v>906.79731589860398</c:v>
                </c:pt>
                <c:pt idx="11">
                  <c:v>933.83041232226185</c:v>
                </c:pt>
                <c:pt idx="12">
                  <c:v>1024.0373155292332</c:v>
                </c:pt>
                <c:pt idx="13">
                  <c:v>1104.6371765090041</c:v>
                </c:pt>
                <c:pt idx="14">
                  <c:v>1137.0194842613166</c:v>
                </c:pt>
                <c:pt idx="15">
                  <c:v>1277.3111989919898</c:v>
                </c:pt>
                <c:pt idx="16">
                  <c:v>1407.1870084783989</c:v>
                </c:pt>
                <c:pt idx="17">
                  <c:v>1454.6991826532558</c:v>
                </c:pt>
                <c:pt idx="18">
                  <c:v>1493.9990334017812</c:v>
                </c:pt>
                <c:pt idx="19">
                  <c:v>1644.7675996883675</c:v>
                </c:pt>
                <c:pt idx="20">
                  <c:v>1706.4900318839989</c:v>
                </c:pt>
                <c:pt idx="21">
                  <c:v>1662.7657572908399</c:v>
                </c:pt>
                <c:pt idx="22">
                  <c:v>1798.1691767188349</c:v>
                </c:pt>
                <c:pt idx="23">
                  <c:v>1859.2868756638848</c:v>
                </c:pt>
                <c:pt idx="24">
                  <c:v>2070.6890634386286</c:v>
                </c:pt>
                <c:pt idx="25">
                  <c:v>2289.3258793085606</c:v>
                </c:pt>
                <c:pt idx="26">
                  <c:v>2230.718156958596</c:v>
                </c:pt>
                <c:pt idx="27">
                  <c:v>2467.6023203023028</c:v>
                </c:pt>
                <c:pt idx="28">
                  <c:v>2554.8036019950819</c:v>
                </c:pt>
                <c:pt idx="29">
                  <c:v>2667.8553083881156</c:v>
                </c:pt>
                <c:pt idx="30">
                  <c:v>2930.7690489158326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E-45E5-B1BD-ED5AF80E6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518720"/>
        <c:axId val="1301441744"/>
      </c:lineChart>
      <c:catAx>
        <c:axId val="136951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AGES</a:t>
                </a:r>
              </a:p>
            </c:rich>
          </c:tx>
          <c:layout>
            <c:manualLayout>
              <c:xMode val="edge"/>
              <c:yMode val="edge"/>
              <c:x val="0.56032524059492561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41744"/>
        <c:crosses val="autoZero"/>
        <c:auto val="1"/>
        <c:lblAlgn val="ctr"/>
        <c:lblOffset val="100"/>
        <c:noMultiLvlLbl val="0"/>
      </c:catAx>
      <c:valAx>
        <c:axId val="130144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Premiums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51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Premium!$G$10</c:f>
              <c:strCache>
                <c:ptCount val="1"/>
                <c:pt idx="0">
                  <c:v>Graduated_Weighted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Premium!$E$11:$E$41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cat>
          <c:val>
            <c:numRef>
              <c:f>Premium!$G$11:$G$41</c:f>
              <c:numCache>
                <c:formatCode>_("₹"* #,##0.00_);_("₹"* \(#,##0.00\);_("₹"* "-"??_);_(@_)</c:formatCode>
                <c:ptCount val="31"/>
                <c:pt idx="0">
                  <c:v>697.46153280424437</c:v>
                </c:pt>
                <c:pt idx="1">
                  <c:v>714.55303412902083</c:v>
                </c:pt>
                <c:pt idx="2">
                  <c:v>733.23279381232135</c:v>
                </c:pt>
                <c:pt idx="3">
                  <c:v>753.64656908055804</c:v>
                </c:pt>
                <c:pt idx="4">
                  <c:v>775.95313521511719</c:v>
                </c:pt>
                <c:pt idx="5">
                  <c:v>800.32537813283147</c:v>
                </c:pt>
                <c:pt idx="6">
                  <c:v>826.95146481335109</c:v>
                </c:pt>
                <c:pt idx="7">
                  <c:v>856.03609428382572</c:v>
                </c:pt>
                <c:pt idx="8">
                  <c:v>887.80183130597266</c:v>
                </c:pt>
                <c:pt idx="9">
                  <c:v>922.49052415702965</c:v>
                </c:pt>
                <c:pt idx="10">
                  <c:v>960.36480691805468</c:v>
                </c:pt>
                <c:pt idx="11">
                  <c:v>1001.7096854395757</c:v>
                </c:pt>
                <c:pt idx="12">
                  <c:v>1046.8342045999707</c:v>
                </c:pt>
                <c:pt idx="13">
                  <c:v>1096.0731925563539</c:v>
                </c:pt>
                <c:pt idx="14">
                  <c:v>1149.7890753572817</c:v>
                </c:pt>
                <c:pt idx="15">
                  <c:v>1208.3737524853736</c:v>
                </c:pt>
                <c:pt idx="16">
                  <c:v>1272.2505205697883</c:v>
                </c:pt>
                <c:pt idx="17">
                  <c:v>1341.8760286002189</c:v>
                </c:pt>
                <c:pt idx="18">
                  <c:v>1417.7422434406085</c:v>
                </c:pt>
                <c:pt idx="19">
                  <c:v>1500.378399251686</c:v>
                </c:pt>
                <c:pt idx="20">
                  <c:v>1590.3528985804896</c:v>
                </c:pt>
                <c:pt idx="21">
                  <c:v>1688.2751263930049</c:v>
                </c:pt>
                <c:pt idx="22">
                  <c:v>1794.7971312974751</c:v>
                </c:pt>
                <c:pt idx="23">
                  <c:v>1910.6151207908913</c:v>
                </c:pt>
                <c:pt idx="24">
                  <c:v>2036.4707098230231</c:v>
                </c:pt>
                <c:pt idx="25">
                  <c:v>2173.1518547117239</c:v>
                </c:pt>
                <c:pt idx="26">
                  <c:v>2321.4933980387118</c:v>
                </c:pt>
                <c:pt idx="27">
                  <c:v>2482.3771454100624</c:v>
                </c:pt>
                <c:pt idx="28">
                  <c:v>2656.7313929586367</c:v>
                </c:pt>
                <c:pt idx="29">
                  <c:v>2845.5298266002492</c:v>
                </c:pt>
                <c:pt idx="30">
                  <c:v>3049.7897220995123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62-4631-A1BF-6097144226E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625328"/>
        <c:axId val="1301508944"/>
      </c:lineChart>
      <c:catAx>
        <c:axId val="129362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  <a:p>
                <a:pPr>
                  <a:defRPr/>
                </a:pPr>
                <a:r>
                  <a:rPr lang="en-US"/>
                  <a:t>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508944"/>
        <c:crosses val="autoZero"/>
        <c:auto val="1"/>
        <c:lblAlgn val="ctr"/>
        <c:lblOffset val="100"/>
        <c:noMultiLvlLbl val="0"/>
      </c:catAx>
      <c:valAx>
        <c:axId val="13015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Premium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2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Premium!$H$10</c:f>
              <c:strCache>
                <c:ptCount val="1"/>
                <c:pt idx="0">
                  <c:v>Graduated_Splines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Premium!$E$11:$E$41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xVal>
          <c:yVal>
            <c:numRef>
              <c:f>Premium!$H$11:$H$41</c:f>
              <c:numCache>
                <c:formatCode>_("₹"* #,##0.00_);_("₹"* \(#,##0.00\);_("₹"* "-"??_);_(@_)</c:formatCode>
                <c:ptCount val="31"/>
                <c:pt idx="0">
                  <c:v>680.76380080931676</c:v>
                </c:pt>
                <c:pt idx="1">
                  <c:v>694.40074882603403</c:v>
                </c:pt>
                <c:pt idx="2">
                  <c:v>710.37263770705499</c:v>
                </c:pt>
                <c:pt idx="3">
                  <c:v>729.03725807917624</c:v>
                </c:pt>
                <c:pt idx="4">
                  <c:v>750.6899051155732</c:v>
                </c:pt>
                <c:pt idx="5">
                  <c:v>775.52286761472828</c:v>
                </c:pt>
                <c:pt idx="6">
                  <c:v>803.70101165751385</c:v>
                </c:pt>
                <c:pt idx="7">
                  <c:v>835.42284729011271</c:v>
                </c:pt>
                <c:pt idx="8">
                  <c:v>870.93193609012053</c:v>
                </c:pt>
                <c:pt idx="9">
                  <c:v>910.52615555531497</c:v>
                </c:pt>
                <c:pt idx="10">
                  <c:v>954.5832622355332</c:v>
                </c:pt>
                <c:pt idx="11">
                  <c:v>1003.5362061231235</c:v>
                </c:pt>
                <c:pt idx="12">
                  <c:v>1057.746571752961</c:v>
                </c:pt>
                <c:pt idx="13">
                  <c:v>1117.4319529507839</c:v>
                </c:pt>
                <c:pt idx="14">
                  <c:v>1182.7092804949473</c:v>
                </c:pt>
                <c:pt idx="15">
                  <c:v>1253.6374867353957</c:v>
                </c:pt>
                <c:pt idx="16">
                  <c:v>1330.2119487698376</c:v>
                </c:pt>
                <c:pt idx="17">
                  <c:v>1412.4536840967603</c:v>
                </c:pt>
                <c:pt idx="18">
                  <c:v>1500.4587323943942</c:v>
                </c:pt>
                <c:pt idx="19">
                  <c:v>1594.3799129801844</c:v>
                </c:pt>
                <c:pt idx="20">
                  <c:v>1694.3832960191962</c:v>
                </c:pt>
                <c:pt idx="21">
                  <c:v>1800.6792552882287</c:v>
                </c:pt>
                <c:pt idx="22">
                  <c:v>1913.4878549530947</c:v>
                </c:pt>
                <c:pt idx="23">
                  <c:v>2032.9279610840774</c:v>
                </c:pt>
                <c:pt idx="24">
                  <c:v>2158.9943754208266</c:v>
                </c:pt>
                <c:pt idx="25">
                  <c:v>2291.5638164526558</c:v>
                </c:pt>
                <c:pt idx="26">
                  <c:v>2430.4597530462343</c:v>
                </c:pt>
                <c:pt idx="27">
                  <c:v>2575.4783601956369</c:v>
                </c:pt>
                <c:pt idx="28">
                  <c:v>2726.2813229975409</c:v>
                </c:pt>
                <c:pt idx="29">
                  <c:v>2882.4325038501015</c:v>
                </c:pt>
                <c:pt idx="30">
                  <c:v>3043.3829462425338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25-43B7-B0D5-B16F26AE7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163632"/>
        <c:axId val="1301522864"/>
      </c:scatterChart>
      <c:valAx>
        <c:axId val="94416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522864"/>
        <c:crosses val="autoZero"/>
        <c:crossBetween val="midCat"/>
      </c:valAx>
      <c:valAx>
        <c:axId val="130152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Premiums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6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9</xdr:row>
      <xdr:rowOff>0</xdr:rowOff>
    </xdr:from>
    <xdr:to>
      <xdr:col>21</xdr:col>
      <xdr:colOff>304800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92B1CB-7B83-4CBE-A13D-3D85DC0C6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35</xdr:row>
      <xdr:rowOff>0</xdr:rowOff>
    </xdr:from>
    <xdr:to>
      <xdr:col>22</xdr:col>
      <xdr:colOff>304800</xdr:colOff>
      <xdr:row>50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31F75D-DD2E-404B-90C7-6F74FC443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53</xdr:row>
      <xdr:rowOff>0</xdr:rowOff>
    </xdr:from>
    <xdr:to>
      <xdr:col>13</xdr:col>
      <xdr:colOff>411480</xdr:colOff>
      <xdr:row>68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C2DCAA-AEC3-412B-B86C-8968AC119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164A1-2BF3-4D20-A964-FC4201B3159B}" name="Table1" displayName="Table1" ref="D13:J54" totalsRowShown="0">
  <autoFilter ref="D13:J54" xr:uid="{2A2164A1-2BF3-4D20-A964-FC4201B3159B}"/>
  <tableColumns count="7">
    <tableColumn id="1" xr3:uid="{68E055AE-4DB9-49D6-9646-2C805399F91B}" name="age">
      <calculatedColumnFormula>graduation_data!A2</calculatedColumnFormula>
    </tableColumn>
    <tableColumn id="7" xr3:uid="{B7CBAC8E-FA77-4E62-824D-881D77E7B8DA}" name="px_Crude" dataDxfId="0">
      <calculatedColumnFormula>EXP(-graduation_data!E2)</calculatedColumnFormula>
    </tableColumn>
    <tableColumn id="2" xr3:uid="{DF0A176D-03D8-40F3-AFA4-CE502B41C8E5}" name="lx_crude">
      <calculatedColumnFormula>F13*'Assurance FActors'!C1</calculatedColumnFormula>
    </tableColumn>
    <tableColumn id="3" xr3:uid="{40D91FD1-46B9-44B4-BAE2-EC7E1D9007FB}" name="px_weighted">
      <calculatedColumnFormula>EXP(-graduation_data!F2)</calculatedColumnFormula>
    </tableColumn>
    <tableColumn id="4" xr3:uid="{28430F66-070C-4704-94EB-3E9C3D458923}" name="lx_weighted">
      <calculatedColumnFormula>H13*G13</calculatedColumnFormula>
    </tableColumn>
    <tableColumn id="5" xr3:uid="{7E9AEC0B-9C7B-4B0B-B052-AC7C357F0B61}" name="px_splines">
      <calculatedColumnFormula>EXP(-graduation_data!G2)</calculatedColumnFormula>
    </tableColumn>
    <tableColumn id="6" xr3:uid="{587F3DB7-18F2-429F-89BA-21E3A2049EE8}" name="lx_splines">
      <calculatedColumnFormula>J13*I13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E51D-368F-4CFC-910B-66D160AD9711}">
  <dimension ref="A1:K42"/>
  <sheetViews>
    <sheetView workbookViewId="0">
      <selection activeCell="F2" sqref="F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20</v>
      </c>
      <c r="B2">
        <v>1000</v>
      </c>
      <c r="C2">
        <v>1.28022053838892E-2</v>
      </c>
      <c r="D2">
        <v>16</v>
      </c>
      <c r="E2">
        <v>1.6E-2</v>
      </c>
      <c r="F2">
        <v>1.34980823673993E-2</v>
      </c>
      <c r="G2">
        <v>1.35681648586569E-2</v>
      </c>
      <c r="H2">
        <v>0.185353560935685</v>
      </c>
      <c r="I2">
        <v>0.46373934237031</v>
      </c>
      <c r="J2">
        <v>0.17923095471466999</v>
      </c>
      <c r="K2">
        <v>3.21237351279322E-2</v>
      </c>
    </row>
    <row r="3" spans="1:11" x14ac:dyDescent="0.3">
      <c r="A3">
        <v>21</v>
      </c>
      <c r="B3">
        <v>950</v>
      </c>
      <c r="C3">
        <v>1.30544038684392E-2</v>
      </c>
      <c r="D3">
        <v>18</v>
      </c>
      <c r="E3">
        <v>1.8947368421052602E-2</v>
      </c>
      <c r="F3">
        <v>1.3745460046802299E-2</v>
      </c>
      <c r="G3">
        <v>1.3668353977974199E-2</v>
      </c>
      <c r="H3">
        <v>0.37844556359249998</v>
      </c>
      <c r="I3">
        <v>1.8702071891272201</v>
      </c>
      <c r="J3">
        <v>0.38622166587031798</v>
      </c>
      <c r="K3">
        <v>0.149167175187643</v>
      </c>
    </row>
    <row r="4" spans="1:11" x14ac:dyDescent="0.3">
      <c r="A4">
        <v>22</v>
      </c>
      <c r="B4">
        <v>902.5</v>
      </c>
      <c r="C4">
        <v>1.33293002165987E-2</v>
      </c>
      <c r="D4">
        <v>12</v>
      </c>
      <c r="E4">
        <v>1.32963988919668E-2</v>
      </c>
      <c r="F4">
        <v>1.40160857334902E-2</v>
      </c>
      <c r="G4">
        <v>1.37814160983247E-2</v>
      </c>
      <c r="H4">
        <v>-5.1347206003726997E-2</v>
      </c>
      <c r="I4">
        <v>3.3350902430161901E-2</v>
      </c>
      <c r="J4">
        <v>-3.5193568128087299E-2</v>
      </c>
      <c r="K4">
        <v>1.2385872375863299E-3</v>
      </c>
    </row>
    <row r="5" spans="1:11" x14ac:dyDescent="0.3">
      <c r="A5">
        <v>23</v>
      </c>
      <c r="B5">
        <v>857.375</v>
      </c>
      <c r="C5">
        <v>1.3628937236092599E-2</v>
      </c>
      <c r="D5">
        <v>8</v>
      </c>
      <c r="E5">
        <v>9.3308062399766693E-3</v>
      </c>
      <c r="F5">
        <v>1.43121442237793E-2</v>
      </c>
      <c r="G5">
        <v>1.39331283898507E-2</v>
      </c>
      <c r="H5">
        <v>-0.34804973356307001</v>
      </c>
      <c r="I5">
        <v>1.4864767853582099</v>
      </c>
      <c r="J5">
        <v>-0.330315060702844</v>
      </c>
      <c r="K5">
        <v>0.109108039327123</v>
      </c>
    </row>
    <row r="6" spans="1:11" x14ac:dyDescent="0.3">
      <c r="A6">
        <v>24</v>
      </c>
      <c r="B6">
        <v>814.50625000000002</v>
      </c>
      <c r="C6">
        <v>1.39555415873409E-2</v>
      </c>
      <c r="D6">
        <v>6</v>
      </c>
      <c r="E6">
        <v>7.3664259789289503E-3</v>
      </c>
      <c r="F6">
        <v>1.46360256363126E-2</v>
      </c>
      <c r="G6">
        <v>1.4148817591802599E-2</v>
      </c>
      <c r="H6">
        <v>-0.49669219213086602</v>
      </c>
      <c r="I6">
        <v>2.94098120315167</v>
      </c>
      <c r="J6">
        <v>-0.47936101860576302</v>
      </c>
      <c r="K6">
        <v>0.22978698615875501</v>
      </c>
    </row>
    <row r="7" spans="1:11" x14ac:dyDescent="0.3">
      <c r="A7">
        <v>25</v>
      </c>
      <c r="B7">
        <v>773.78093750000005</v>
      </c>
      <c r="C7">
        <v>1.43115403302016E-2</v>
      </c>
      <c r="D7">
        <v>12</v>
      </c>
      <c r="E7">
        <v>1.55082652187978E-2</v>
      </c>
      <c r="F7">
        <v>1.4990344707798E-2</v>
      </c>
      <c r="G7">
        <v>1.44395227716437E-2</v>
      </c>
      <c r="H7">
        <v>3.4550273599137198E-2</v>
      </c>
      <c r="I7">
        <v>1.38462646377428E-2</v>
      </c>
      <c r="J7">
        <v>7.4015080972962097E-2</v>
      </c>
      <c r="K7">
        <v>5.4782322114341397E-3</v>
      </c>
    </row>
    <row r="8" spans="1:11" x14ac:dyDescent="0.3">
      <c r="A8">
        <v>26</v>
      </c>
      <c r="B8">
        <v>735.09189062500002</v>
      </c>
      <c r="C8">
        <v>1.4699578959919701E-2</v>
      </c>
      <c r="D8">
        <v>10</v>
      </c>
      <c r="E8">
        <v>1.36037414199981E-2</v>
      </c>
      <c r="F8">
        <v>1.5377961902117E-2</v>
      </c>
      <c r="G8">
        <v>1.47997075985426E-2</v>
      </c>
      <c r="H8">
        <v>-0.115374227964154</v>
      </c>
      <c r="I8">
        <v>0.15047280894485701</v>
      </c>
      <c r="J8">
        <v>-8.0810122131220102E-2</v>
      </c>
      <c r="K8">
        <v>6.5302758388627096E-3</v>
      </c>
    </row>
    <row r="9" spans="1:11" x14ac:dyDescent="0.3">
      <c r="A9">
        <v>27</v>
      </c>
      <c r="B9">
        <v>698.33729609374996</v>
      </c>
      <c r="C9">
        <v>1.51225410663125E-2</v>
      </c>
      <c r="D9">
        <v>11</v>
      </c>
      <c r="E9">
        <v>1.5751700591576701E-2</v>
      </c>
      <c r="F9">
        <v>1.58020065032215E-2</v>
      </c>
      <c r="G9">
        <v>1.5221812830014199E-2</v>
      </c>
      <c r="H9">
        <v>-3.1835141717309898E-3</v>
      </c>
      <c r="I9">
        <v>1.11838426513482E-4</v>
      </c>
      <c r="J9">
        <v>3.4811081142559201E-2</v>
      </c>
      <c r="K9">
        <v>1.2118113703138401E-3</v>
      </c>
    </row>
    <row r="10" spans="1:11" x14ac:dyDescent="0.3">
      <c r="A10">
        <v>28</v>
      </c>
      <c r="B10">
        <v>663.42043128906198</v>
      </c>
      <c r="C10">
        <v>1.55835697622806E-2</v>
      </c>
      <c r="D10">
        <v>10</v>
      </c>
      <c r="E10">
        <v>1.50733976952887E-2</v>
      </c>
      <c r="F10">
        <v>1.62659018782494E-2</v>
      </c>
      <c r="G10">
        <v>1.56967515500917E-2</v>
      </c>
      <c r="H10">
        <v>-7.3313130245504898E-2</v>
      </c>
      <c r="I10">
        <v>5.80003369187512E-2</v>
      </c>
      <c r="J10">
        <v>-3.9712283959756303E-2</v>
      </c>
      <c r="K10">
        <v>1.57706549730031E-3</v>
      </c>
    </row>
    <row r="11" spans="1:11" x14ac:dyDescent="0.3">
      <c r="A11">
        <v>29</v>
      </c>
      <c r="B11">
        <v>630.249409724609</v>
      </c>
      <c r="C11">
        <v>1.6086091040885899E-2</v>
      </c>
      <c r="D11">
        <v>17</v>
      </c>
      <c r="E11">
        <v>2.6973448507358801E-2</v>
      </c>
      <c r="F11">
        <v>1.6773393114812199E-2</v>
      </c>
      <c r="G11">
        <v>1.6215562689575601E-2</v>
      </c>
      <c r="H11">
        <v>0.60810924317627302</v>
      </c>
      <c r="I11">
        <v>3.90927824368586</v>
      </c>
      <c r="J11">
        <v>0.66342969551706998</v>
      </c>
      <c r="K11">
        <v>0.440138960893873</v>
      </c>
    </row>
    <row r="12" spans="1:11" x14ac:dyDescent="0.3">
      <c r="A12">
        <v>30</v>
      </c>
      <c r="B12">
        <v>598.73693923837902</v>
      </c>
      <c r="C12">
        <v>1.6633839234565601E-2</v>
      </c>
      <c r="D12">
        <v>15</v>
      </c>
      <c r="E12">
        <v>2.5052738551726399E-2</v>
      </c>
      <c r="F12">
        <v>1.7328577255573501E-2</v>
      </c>
      <c r="G12">
        <v>1.67728851004381E-2</v>
      </c>
      <c r="H12">
        <v>0.44574699828103498</v>
      </c>
      <c r="I12">
        <v>2.0614642815733899</v>
      </c>
      <c r="J12">
        <v>0.493645154170405</v>
      </c>
      <c r="K12">
        <v>0.24368553823592301</v>
      </c>
    </row>
    <row r="13" spans="1:11" x14ac:dyDescent="0.3">
      <c r="A13">
        <v>31</v>
      </c>
      <c r="B13">
        <v>568.80009227645996</v>
      </c>
      <c r="C13">
        <v>1.72308847656765E-2</v>
      </c>
      <c r="D13">
        <v>7</v>
      </c>
      <c r="E13">
        <v>1.23066084113744E-2</v>
      </c>
      <c r="F13">
        <v>1.79359363742067E-2</v>
      </c>
      <c r="G13">
        <v>1.7384170508074601E-2</v>
      </c>
      <c r="H13">
        <v>-0.31385748953301201</v>
      </c>
      <c r="I13">
        <v>1.0049598379824201</v>
      </c>
      <c r="J13">
        <v>-0.29207963039374202</v>
      </c>
      <c r="K13">
        <v>8.5310510490944694E-2</v>
      </c>
    </row>
    <row r="14" spans="1:11" x14ac:dyDescent="0.3">
      <c r="A14">
        <v>32</v>
      </c>
      <c r="B14">
        <v>540.36008766263706</v>
      </c>
      <c r="C14">
        <v>1.7881664394587399E-2</v>
      </c>
      <c r="D14">
        <v>6</v>
      </c>
      <c r="E14">
        <v>1.11037068373303E-2</v>
      </c>
      <c r="F14">
        <v>1.8600373759757999E-2</v>
      </c>
      <c r="G14">
        <v>1.8080461878146398E-2</v>
      </c>
      <c r="H14">
        <v>-0.40303850983074302</v>
      </c>
      <c r="I14">
        <v>1.6326685363961599</v>
      </c>
      <c r="J14">
        <v>-0.38587261143194701</v>
      </c>
      <c r="K14">
        <v>0.14889767225330999</v>
      </c>
    </row>
    <row r="15" spans="1:11" x14ac:dyDescent="0.3">
      <c r="A15">
        <v>33</v>
      </c>
      <c r="B15">
        <v>513.342083279505</v>
      </c>
      <c r="C15">
        <v>1.85910141901003E-2</v>
      </c>
      <c r="D15">
        <v>11</v>
      </c>
      <c r="E15">
        <v>2.1428206177304E-2</v>
      </c>
      <c r="F15">
        <v>1.9327253501535201E-2</v>
      </c>
      <c r="G15">
        <v>1.8885984076641601E-2</v>
      </c>
      <c r="H15">
        <v>0.10870415062347</v>
      </c>
      <c r="I15">
        <v>0.11723823340733</v>
      </c>
      <c r="J15">
        <v>0.13460892958215701</v>
      </c>
      <c r="K15">
        <v>1.8119563923254201E-2</v>
      </c>
    </row>
    <row r="16" spans="1:11" x14ac:dyDescent="0.3">
      <c r="A16">
        <v>34</v>
      </c>
      <c r="B16">
        <v>487.67497911552999</v>
      </c>
      <c r="C16">
        <v>1.9364205467209301E-2</v>
      </c>
      <c r="D16">
        <v>4</v>
      </c>
      <c r="E16">
        <v>8.2021841827000994E-3</v>
      </c>
      <c r="F16">
        <v>2.0122443794097899E-2</v>
      </c>
      <c r="G16">
        <v>1.98140079333377E-2</v>
      </c>
      <c r="H16">
        <v>-0.59238627938889399</v>
      </c>
      <c r="I16">
        <v>3.4436672394845198</v>
      </c>
      <c r="J16">
        <v>-0.58604113764890098</v>
      </c>
      <c r="K16">
        <v>0.34344421501681799</v>
      </c>
    </row>
    <row r="17" spans="1:11" x14ac:dyDescent="0.3">
      <c r="A17">
        <v>35</v>
      </c>
      <c r="B17">
        <v>463.29123015975301</v>
      </c>
      <c r="C17">
        <v>2.0206983959258198E-2</v>
      </c>
      <c r="D17">
        <v>11</v>
      </c>
      <c r="E17">
        <v>2.3743164739395001E-2</v>
      </c>
      <c r="F17">
        <v>2.0992364311954E-2</v>
      </c>
      <c r="G17">
        <v>2.08750527896918E-2</v>
      </c>
      <c r="H17">
        <v>0.13103814256284499</v>
      </c>
      <c r="I17">
        <v>0.16699785423817401</v>
      </c>
      <c r="J17">
        <v>0.137394236967845</v>
      </c>
      <c r="K17">
        <v>1.8877176351976301E-2</v>
      </c>
    </row>
    <row r="18" spans="1:11" x14ac:dyDescent="0.3">
      <c r="A18">
        <v>36</v>
      </c>
      <c r="B18">
        <v>440.12666865176499</v>
      </c>
      <c r="C18">
        <v>2.1125612515591401E-2</v>
      </c>
      <c r="D18">
        <v>8</v>
      </c>
      <c r="E18">
        <v>1.81765854464268E-2</v>
      </c>
      <c r="F18">
        <v>2.1944038036426E-2</v>
      </c>
      <c r="G18">
        <v>2.2066469796703E-2</v>
      </c>
      <c r="H18">
        <v>-0.17168456342198299</v>
      </c>
      <c r="I18">
        <v>0.284679850363946</v>
      </c>
      <c r="J18">
        <v>-0.17628031969378899</v>
      </c>
      <c r="K18">
        <v>3.1074751111344601E-2</v>
      </c>
    </row>
    <row r="19" spans="1:11" x14ac:dyDescent="0.3">
      <c r="A19">
        <v>37</v>
      </c>
      <c r="B19">
        <v>418.12033521917698</v>
      </c>
      <c r="C19">
        <v>2.2126917641994599E-2</v>
      </c>
      <c r="D19">
        <v>13</v>
      </c>
      <c r="E19">
        <v>3.1091527737308999E-2</v>
      </c>
      <c r="F19">
        <v>2.2985147953090999E-2</v>
      </c>
      <c r="G19">
        <v>2.33842702503518E-2</v>
      </c>
      <c r="H19">
        <v>0.35267903433825398</v>
      </c>
      <c r="I19">
        <v>1.1953852136061001</v>
      </c>
      <c r="J19">
        <v>0.32959153330180402</v>
      </c>
      <c r="K19">
        <v>0.10863057882423401</v>
      </c>
    </row>
    <row r="20" spans="1:11" x14ac:dyDescent="0.3">
      <c r="A20">
        <v>38</v>
      </c>
      <c r="B20">
        <v>397.21431845821797</v>
      </c>
      <c r="C20">
        <v>2.32183402297742E-2</v>
      </c>
      <c r="D20">
        <v>8</v>
      </c>
      <c r="E20">
        <v>2.0140260882467401E-2</v>
      </c>
      <c r="F20">
        <v>2.4124099077521399E-2</v>
      </c>
      <c r="G20">
        <v>2.4822946086838899E-2</v>
      </c>
      <c r="H20">
        <v>-0.165139356385999</v>
      </c>
      <c r="I20">
        <v>0.261322722408181</v>
      </c>
      <c r="J20">
        <v>-0.188643410334532</v>
      </c>
      <c r="K20">
        <v>3.55863362626428E-2</v>
      </c>
    </row>
    <row r="21" spans="1:11" x14ac:dyDescent="0.3">
      <c r="A21">
        <v>39</v>
      </c>
      <c r="B21">
        <v>377.353602535307</v>
      </c>
      <c r="C21">
        <v>2.4407990850453799E-2</v>
      </c>
      <c r="D21">
        <v>10</v>
      </c>
      <c r="E21">
        <v>2.6500343266404498E-2</v>
      </c>
      <c r="F21">
        <v>2.5370086310066899E-2</v>
      </c>
      <c r="G21">
        <v>2.6383123725675601E-2</v>
      </c>
      <c r="H21">
        <v>4.4550773005809098E-2</v>
      </c>
      <c r="I21">
        <v>1.9001195793515401E-2</v>
      </c>
      <c r="J21">
        <v>4.4429743023481601E-3</v>
      </c>
      <c r="K21" s="1">
        <v>1.9740020651326099E-5</v>
      </c>
    </row>
    <row r="22" spans="1:11" x14ac:dyDescent="0.3">
      <c r="A22">
        <v>40</v>
      </c>
      <c r="B22">
        <v>358.48592240854202</v>
      </c>
      <c r="C22">
        <v>2.57047100269947E-2</v>
      </c>
      <c r="D22">
        <v>14</v>
      </c>
      <c r="E22">
        <v>3.90531374452276E-2</v>
      </c>
      <c r="F22">
        <v>2.6733168667479702E-2</v>
      </c>
      <c r="G22">
        <v>2.8062678847478099E-2</v>
      </c>
      <c r="H22">
        <v>0.46084955101992298</v>
      </c>
      <c r="I22">
        <v>2.03535834294353</v>
      </c>
      <c r="J22">
        <v>0.391639681210877</v>
      </c>
      <c r="K22">
        <v>0.15338163989895801</v>
      </c>
    </row>
    <row r="23" spans="1:11" x14ac:dyDescent="0.3">
      <c r="A23">
        <v>41</v>
      </c>
      <c r="B23">
        <v>340.56162628811501</v>
      </c>
      <c r="C23">
        <v>2.71181339294242E-2</v>
      </c>
      <c r="D23">
        <v>11</v>
      </c>
      <c r="E23">
        <v>3.2299587360714602E-2</v>
      </c>
      <c r="F23">
        <v>2.8224350490662801E-2</v>
      </c>
      <c r="G23">
        <v>2.9860967069630599E-2</v>
      </c>
      <c r="H23">
        <v>0.144387268412073</v>
      </c>
      <c r="I23">
        <v>0.20039065655868801</v>
      </c>
      <c r="J23">
        <v>8.1665817634022295E-2</v>
      </c>
      <c r="K23">
        <v>6.6693057698333797E-3</v>
      </c>
    </row>
    <row r="24" spans="1:11" x14ac:dyDescent="0.3">
      <c r="A24">
        <v>42</v>
      </c>
      <c r="B24">
        <v>323.53354497370901</v>
      </c>
      <c r="C24">
        <v>2.8658765983072401E-2</v>
      </c>
      <c r="D24">
        <v>8</v>
      </c>
      <c r="E24">
        <v>2.47269568311691E-2</v>
      </c>
      <c r="F24">
        <v>2.9855670284143401E-2</v>
      </c>
      <c r="G24">
        <v>3.1788280692095799E-2</v>
      </c>
      <c r="H24">
        <v>-0.171783564199469</v>
      </c>
      <c r="I24">
        <v>0.28504233099938198</v>
      </c>
      <c r="J24">
        <v>-0.22213607364686799</v>
      </c>
      <c r="K24">
        <v>4.9344435215246597E-2</v>
      </c>
    </row>
    <row r="25" spans="1:11" x14ac:dyDescent="0.3">
      <c r="A25">
        <v>43</v>
      </c>
      <c r="B25">
        <v>307.35686772502402</v>
      </c>
      <c r="C25">
        <v>3.0338054921548899E-2</v>
      </c>
      <c r="D25">
        <v>9</v>
      </c>
      <c r="E25">
        <v>2.9281922563226499E-2</v>
      </c>
      <c r="F25">
        <v>3.1640297904483299E-2</v>
      </c>
      <c r="G25">
        <v>3.3858181734772001E-2</v>
      </c>
      <c r="H25">
        <v>-7.4537077633601997E-2</v>
      </c>
      <c r="I25">
        <v>5.4029159106195199E-2</v>
      </c>
      <c r="J25">
        <v>-0.135159625741087</v>
      </c>
      <c r="K25">
        <v>1.8268124430470701E-2</v>
      </c>
    </row>
    <row r="26" spans="1:11" x14ac:dyDescent="0.3">
      <c r="A26">
        <v>44</v>
      </c>
      <c r="B26">
        <v>291.98902433877203</v>
      </c>
      <c r="C26">
        <v>3.21684798644883E-2</v>
      </c>
      <c r="D26">
        <v>10</v>
      </c>
      <c r="E26">
        <v>3.4247862647048599E-2</v>
      </c>
      <c r="F26">
        <v>3.35926408822418E-2</v>
      </c>
      <c r="G26">
        <v>3.6077845427897097E-2</v>
      </c>
      <c r="H26">
        <v>1.95049197561954E-2</v>
      </c>
      <c r="I26">
        <v>3.7316337304836101E-3</v>
      </c>
      <c r="J26">
        <v>-5.0723172604798999E-2</v>
      </c>
      <c r="K26">
        <v>2.5728402390962301E-3</v>
      </c>
    </row>
    <row r="27" spans="1:11" x14ac:dyDescent="0.3">
      <c r="A27">
        <v>45</v>
      </c>
      <c r="B27">
        <v>277.38957312183402</v>
      </c>
      <c r="C27">
        <v>3.4163643052292199E-2</v>
      </c>
      <c r="D27">
        <v>17</v>
      </c>
      <c r="E27">
        <v>6.1285648947350099E-2</v>
      </c>
      <c r="F27">
        <v>3.57284607358406E-2</v>
      </c>
      <c r="G27">
        <v>3.8448899292976797E-2</v>
      </c>
      <c r="H27">
        <v>0.71531736003035096</v>
      </c>
      <c r="I27">
        <v>5.0710975923309798</v>
      </c>
      <c r="J27">
        <v>0.59395067412358005</v>
      </c>
      <c r="K27">
        <v>0.35277740329185497</v>
      </c>
    </row>
    <row r="28" spans="1:11" x14ac:dyDescent="0.3">
      <c r="A28">
        <v>46</v>
      </c>
      <c r="B28">
        <v>263.52009446574198</v>
      </c>
      <c r="C28">
        <v>3.6338370926998501E-2</v>
      </c>
      <c r="D28">
        <v>5</v>
      </c>
      <c r="E28">
        <v>1.8973885123018602E-2</v>
      </c>
      <c r="F28">
        <v>3.8065000216349398E-2</v>
      </c>
      <c r="G28">
        <v>4.09747962537821E-2</v>
      </c>
      <c r="H28">
        <v>-0.50153986561993802</v>
      </c>
      <c r="I28">
        <v>2.5231931247511898</v>
      </c>
      <c r="J28">
        <v>-0.53693765783478997</v>
      </c>
      <c r="K28">
        <v>0.28830204840111001</v>
      </c>
    </row>
    <row r="29" spans="1:11" x14ac:dyDescent="0.3">
      <c r="A29">
        <v>47</v>
      </c>
      <c r="B29">
        <v>250.344089742455</v>
      </c>
      <c r="C29">
        <v>3.8708824310428401E-2</v>
      </c>
      <c r="D29">
        <v>11</v>
      </c>
      <c r="E29">
        <v>4.3939523442779897E-2</v>
      </c>
      <c r="F29">
        <v>4.0621122510454598E-2</v>
      </c>
      <c r="G29">
        <v>4.3671500112709503E-2</v>
      </c>
      <c r="H29">
        <v>8.1691512376874706E-2</v>
      </c>
      <c r="I29">
        <v>6.7864575342119607E-2</v>
      </c>
      <c r="J29">
        <v>6.1372595257470804E-3</v>
      </c>
      <c r="K29" s="1">
        <v>3.7665954486373199E-5</v>
      </c>
    </row>
    <row r="30" spans="1:11" x14ac:dyDescent="0.3">
      <c r="A30">
        <v>48</v>
      </c>
      <c r="B30">
        <v>237.826885255332</v>
      </c>
      <c r="C30">
        <v>4.1292618498366997E-2</v>
      </c>
      <c r="D30">
        <v>13</v>
      </c>
      <c r="E30">
        <v>5.46616081106353E-2</v>
      </c>
      <c r="F30">
        <v>4.3417463525415201E-2</v>
      </c>
      <c r="G30">
        <v>4.6543921987584599E-2</v>
      </c>
      <c r="H30">
        <v>0.25897746372581398</v>
      </c>
      <c r="I30">
        <v>0.69254714437208098</v>
      </c>
      <c r="J30">
        <v>0.17440915540413901</v>
      </c>
      <c r="K30">
        <v>3.04185534887851E-2</v>
      </c>
    </row>
    <row r="31" spans="1:11" x14ac:dyDescent="0.3">
      <c r="A31">
        <v>49</v>
      </c>
      <c r="B31">
        <v>225.93554099256599</v>
      </c>
      <c r="C31">
        <v>4.4108954163219999E-2</v>
      </c>
      <c r="D31">
        <v>8</v>
      </c>
      <c r="E31">
        <v>3.5408329140492502E-2</v>
      </c>
      <c r="F31">
        <v>4.6476598485422502E-2</v>
      </c>
      <c r="G31">
        <v>4.9594614238076901E-2</v>
      </c>
      <c r="H31">
        <v>-0.238147147287502</v>
      </c>
      <c r="I31">
        <v>0.59553824399817401</v>
      </c>
      <c r="J31">
        <v>-0.28604487232189602</v>
      </c>
      <c r="K31">
        <v>8.1821668981649998E-2</v>
      </c>
    </row>
    <row r="32" spans="1:11" x14ac:dyDescent="0.3">
      <c r="A32">
        <v>50</v>
      </c>
      <c r="B32">
        <v>214.638763942937</v>
      </c>
      <c r="C32">
        <v>4.71787600379098E-2</v>
      </c>
      <c r="D32">
        <v>6</v>
      </c>
      <c r="E32">
        <v>2.7953944058283602E-2</v>
      </c>
      <c r="F32">
        <v>4.9823224184316499E-2</v>
      </c>
      <c r="G32">
        <v>5.2829149948869801E-2</v>
      </c>
      <c r="H32">
        <v>-0.43893747311754699</v>
      </c>
      <c r="I32">
        <v>2.0603704158682699</v>
      </c>
      <c r="J32">
        <v>-0.47086136942694501</v>
      </c>
      <c r="K32">
        <v>0.221710429218618</v>
      </c>
    </row>
    <row r="33" spans="1:11" x14ac:dyDescent="0.3">
      <c r="A33">
        <v>51</v>
      </c>
      <c r="B33">
        <v>203.90682574579</v>
      </c>
      <c r="C33">
        <v>5.0524848441321699E-2</v>
      </c>
      <c r="D33">
        <v>15</v>
      </c>
      <c r="E33">
        <v>7.3563010679693605E-2</v>
      </c>
      <c r="F33">
        <v>5.3484358366010502E-2</v>
      </c>
      <c r="G33">
        <v>5.6242436927098301E-2</v>
      </c>
      <c r="H33">
        <v>0.37541167038554502</v>
      </c>
      <c r="I33">
        <v>1.5370007972466799</v>
      </c>
      <c r="J33">
        <v>0.30796271817037901</v>
      </c>
      <c r="K33">
        <v>9.4841035782888397E-2</v>
      </c>
    </row>
    <row r="34" spans="1:11" x14ac:dyDescent="0.3">
      <c r="A34">
        <v>52</v>
      </c>
      <c r="B34">
        <v>193.71148445850099</v>
      </c>
      <c r="C34">
        <v>5.4172084801040701E-2</v>
      </c>
      <c r="D34">
        <v>5</v>
      </c>
      <c r="E34">
        <v>2.5811582694629302E-2</v>
      </c>
      <c r="F34">
        <v>5.7489557842246498E-2</v>
      </c>
      <c r="G34">
        <v>5.9815553386260802E-2</v>
      </c>
      <c r="H34">
        <v>-0.55102137390833195</v>
      </c>
      <c r="I34">
        <v>3.38128072094276</v>
      </c>
      <c r="J34">
        <v>-0.56848041632332302</v>
      </c>
      <c r="K34">
        <v>0.32316998374313899</v>
      </c>
    </row>
    <row r="35" spans="1:11" x14ac:dyDescent="0.3">
      <c r="A35">
        <v>53</v>
      </c>
      <c r="B35">
        <v>184.02591023557599</v>
      </c>
      <c r="C35">
        <v>5.8147572433134301E-2</v>
      </c>
      <c r="D35">
        <v>16</v>
      </c>
      <c r="E35">
        <v>8.6944278550330406E-2</v>
      </c>
      <c r="F35">
        <v>6.1871157108575103E-2</v>
      </c>
      <c r="G35">
        <v>6.3531048437247703E-2</v>
      </c>
      <c r="H35">
        <v>0.405247333547609</v>
      </c>
      <c r="I35">
        <v>1.8698533409956</v>
      </c>
      <c r="J35">
        <v>0.36853209082813998</v>
      </c>
      <c r="K35">
        <v>0.13581590197016</v>
      </c>
    </row>
    <row r="36" spans="1:11" x14ac:dyDescent="0.3">
      <c r="A36">
        <v>54</v>
      </c>
      <c r="B36">
        <v>174.824614723797</v>
      </c>
      <c r="C36">
        <v>6.2480853952116402E-2</v>
      </c>
      <c r="D36">
        <v>17</v>
      </c>
      <c r="E36">
        <v>9.72403115365537E-2</v>
      </c>
      <c r="F36">
        <v>6.6664529384937707E-2</v>
      </c>
      <c r="G36">
        <v>6.7359285640673894E-2</v>
      </c>
      <c r="H36">
        <v>0.45865143628426103</v>
      </c>
      <c r="I36">
        <v>2.4516750822974198</v>
      </c>
      <c r="J36">
        <v>0.443606632874333</v>
      </c>
      <c r="K36">
        <v>0.19678684473010399</v>
      </c>
    </row>
    <row r="37" spans="1:11" x14ac:dyDescent="0.3">
      <c r="A37">
        <v>55</v>
      </c>
      <c r="B37">
        <v>166.08338398760699</v>
      </c>
      <c r="C37">
        <v>6.7204130807806906E-2</v>
      </c>
      <c r="D37">
        <v>10</v>
      </c>
      <c r="E37">
        <v>6.02107192176803E-2</v>
      </c>
      <c r="F37">
        <v>7.1908372188265096E-2</v>
      </c>
      <c r="G37">
        <v>7.1281068021847305E-2</v>
      </c>
      <c r="H37">
        <v>-0.162674423222359</v>
      </c>
      <c r="I37">
        <v>0.31604155784380999</v>
      </c>
      <c r="J37">
        <v>-0.155305596722737</v>
      </c>
      <c r="K37">
        <v>2.4119828373405299E-2</v>
      </c>
    </row>
    <row r="38" spans="1:11" x14ac:dyDescent="0.3">
      <c r="A38">
        <v>56</v>
      </c>
      <c r="B38">
        <v>157.77921478822699</v>
      </c>
      <c r="C38">
        <v>7.2352502580509501E-2</v>
      </c>
      <c r="D38">
        <v>9</v>
      </c>
      <c r="E38">
        <v>5.7041733995697202E-2</v>
      </c>
      <c r="F38">
        <v>7.7645019742557303E-2</v>
      </c>
      <c r="G38">
        <v>7.5292558515342695E-2</v>
      </c>
      <c r="H38">
        <v>-0.26535231512817098</v>
      </c>
      <c r="I38">
        <v>0.86259941104351701</v>
      </c>
      <c r="J38">
        <v>-0.242398782556001</v>
      </c>
      <c r="K38">
        <v>5.8757169784631698E-2</v>
      </c>
    </row>
    <row r="39" spans="1:11" x14ac:dyDescent="0.3">
      <c r="A39">
        <v>57</v>
      </c>
      <c r="B39">
        <v>149.890254048815</v>
      </c>
      <c r="C39">
        <v>7.7964227812755402E-2</v>
      </c>
      <c r="D39">
        <v>9</v>
      </c>
      <c r="E39">
        <v>6.0043930521786498E-2</v>
      </c>
      <c r="F39">
        <v>8.3920784748572605E-2</v>
      </c>
      <c r="G39">
        <v>7.9386620921971601E-2</v>
      </c>
      <c r="H39">
        <v>-0.28451657474749997</v>
      </c>
      <c r="I39">
        <v>1.01825857321201</v>
      </c>
      <c r="J39">
        <v>-0.24365176619870099</v>
      </c>
      <c r="K39">
        <v>5.9366183171746502E-2</v>
      </c>
    </row>
    <row r="40" spans="1:11" x14ac:dyDescent="0.3">
      <c r="A40">
        <v>58</v>
      </c>
      <c r="B40">
        <v>142.39574134637499</v>
      </c>
      <c r="C40">
        <v>8.4081008315903399E-2</v>
      </c>
      <c r="D40">
        <v>14</v>
      </c>
      <c r="E40">
        <v>9.8317547053217602E-2</v>
      </c>
      <c r="F40">
        <v>9.0786332272275394E-2</v>
      </c>
      <c r="G40">
        <v>8.3545438660535001E-2</v>
      </c>
      <c r="H40">
        <v>8.2955380974699094E-2</v>
      </c>
      <c r="I40">
        <v>8.8962421674744205E-2</v>
      </c>
      <c r="J40">
        <v>0.176815259211281</v>
      </c>
      <c r="K40">
        <v>3.1263635889952499E-2</v>
      </c>
    </row>
    <row r="41" spans="1:11" x14ac:dyDescent="0.3">
      <c r="A41">
        <v>59</v>
      </c>
      <c r="B41">
        <v>135.27595427905601</v>
      </c>
      <c r="C41">
        <v>9.0748299064334695E-2</v>
      </c>
      <c r="D41">
        <v>13</v>
      </c>
      <c r="E41">
        <v>9.6099858021942097E-2</v>
      </c>
      <c r="F41">
        <v>9.8297088770493798E-2</v>
      </c>
      <c r="G41">
        <v>8.7743060318323393E-2</v>
      </c>
      <c r="H41">
        <v>-2.23529585263905E-2</v>
      </c>
      <c r="I41">
        <v>6.6440254385491202E-3</v>
      </c>
      <c r="J41">
        <v>9.5241694024587598E-2</v>
      </c>
      <c r="K41">
        <v>9.0709802806731698E-3</v>
      </c>
    </row>
    <row r="42" spans="1:11" x14ac:dyDescent="0.3">
      <c r="A42">
        <v>60</v>
      </c>
      <c r="B42">
        <v>128.512156565103</v>
      </c>
      <c r="C42">
        <v>9.8015645980124799E-2</v>
      </c>
      <c r="D42">
        <v>16</v>
      </c>
      <c r="E42">
        <v>0.124501840352314</v>
      </c>
      <c r="F42">
        <v>0.106513689555904</v>
      </c>
      <c r="G42">
        <v>9.1957907679828796E-2</v>
      </c>
      <c r="H42">
        <v>0.168881116327943</v>
      </c>
      <c r="I42">
        <v>0.39040180978227701</v>
      </c>
      <c r="J42">
        <v>0.35390031693406399</v>
      </c>
      <c r="K42">
        <v>0.125245434326031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7971-AFC2-471C-B530-87FAC60067E0}">
  <dimension ref="B2:Q54"/>
  <sheetViews>
    <sheetView workbookViewId="0">
      <selection activeCell="F15" sqref="F15:F54"/>
    </sheetView>
  </sheetViews>
  <sheetFormatPr defaultRowHeight="14.4" x14ac:dyDescent="0.3"/>
  <cols>
    <col min="3" max="3" width="11.33203125" bestFit="1" customWidth="1"/>
    <col min="6" max="6" width="10" customWidth="1"/>
    <col min="7" max="7" width="13.6640625" customWidth="1"/>
    <col min="8" max="8" width="13" customWidth="1"/>
    <col min="9" max="9" width="11.5546875" customWidth="1"/>
    <col min="10" max="10" width="10.88671875" customWidth="1"/>
  </cols>
  <sheetData>
    <row r="2" spans="2:17" x14ac:dyDescent="0.3">
      <c r="I2">
        <f>100000-H15</f>
        <v>1340.7391761932231</v>
      </c>
    </row>
    <row r="4" spans="2:17" x14ac:dyDescent="0.3">
      <c r="B4" t="s">
        <v>10</v>
      </c>
      <c r="C4" s="2">
        <f>50000</f>
        <v>50000</v>
      </c>
    </row>
    <row r="5" spans="2:17" x14ac:dyDescent="0.3">
      <c r="B5" t="s">
        <v>11</v>
      </c>
      <c r="C5" s="3">
        <v>0.05</v>
      </c>
    </row>
    <row r="6" spans="2:17" x14ac:dyDescent="0.3">
      <c r="B6" t="s">
        <v>12</v>
      </c>
      <c r="C6">
        <f>1/(1+C5)</f>
        <v>0.95238095238095233</v>
      </c>
    </row>
    <row r="7" spans="2:17" x14ac:dyDescent="0.3">
      <c r="B7" t="s">
        <v>13</v>
      </c>
      <c r="C7">
        <v>10</v>
      </c>
    </row>
    <row r="11" spans="2:17" x14ac:dyDescent="0.3">
      <c r="G11" s="4" t="s">
        <v>20</v>
      </c>
      <c r="H11" s="4"/>
    </row>
    <row r="13" spans="2:17" x14ac:dyDescent="0.3">
      <c r="D13" t="s">
        <v>0</v>
      </c>
      <c r="E13" t="s">
        <v>33</v>
      </c>
      <c r="F13" t="s">
        <v>14</v>
      </c>
      <c r="G13" t="s">
        <v>16</v>
      </c>
      <c r="H13" t="s">
        <v>15</v>
      </c>
      <c r="I13" t="s">
        <v>17</v>
      </c>
      <c r="J13" t="s">
        <v>19</v>
      </c>
      <c r="N13" t="s">
        <v>25</v>
      </c>
      <c r="O13" t="s">
        <v>26</v>
      </c>
      <c r="P13" t="s">
        <v>28</v>
      </c>
      <c r="Q13" t="s">
        <v>27</v>
      </c>
    </row>
    <row r="14" spans="2:17" x14ac:dyDescent="0.3">
      <c r="D14">
        <f>graduation_data!A2</f>
        <v>20</v>
      </c>
      <c r="E14">
        <f>EXP(-graduation_data!E2)</f>
        <v>0.98412732005528514</v>
      </c>
      <c r="F14">
        <f>100000</f>
        <v>100000</v>
      </c>
      <c r="G14">
        <f>EXP(-graduation_data!F2)</f>
        <v>0.98659260823806783</v>
      </c>
      <c r="H14">
        <f>100000</f>
        <v>100000</v>
      </c>
      <c r="I14">
        <f>EXP(-graduation_data!G2)</f>
        <v>0.9865234677930218</v>
      </c>
      <c r="J14">
        <f>100000</f>
        <v>100000</v>
      </c>
      <c r="N14">
        <f>Table1[[#This Row],[age]]</f>
        <v>20</v>
      </c>
      <c r="O14">
        <f>Table1[[#This Row],[lx_crude]]-F15</f>
        <v>1587.267994471491</v>
      </c>
      <c r="P14">
        <f>Table1[[#This Row],[lx_weighted]]-H15</f>
        <v>1340.7391761932231</v>
      </c>
      <c r="Q14">
        <f>Table1[[#This Row],[lx_splines]]-J15</f>
        <v>1347.6532206978154</v>
      </c>
    </row>
    <row r="15" spans="2:17" x14ac:dyDescent="0.3">
      <c r="D15">
        <f>graduation_data!A3</f>
        <v>21</v>
      </c>
      <c r="E15">
        <f>EXP(-graduation_data!E3)</f>
        <v>0.98123100462086943</v>
      </c>
      <c r="F15">
        <f>F14*E14</f>
        <v>98412.732005528509</v>
      </c>
      <c r="G15">
        <f>EXP(-graduation_data!F3)</f>
        <v>0.98634857743325732</v>
      </c>
      <c r="H15">
        <f>H14*G14</f>
        <v>98659.260823806777</v>
      </c>
      <c r="I15">
        <f>EXP(-graduation_data!G3)</f>
        <v>0.98642463382672441</v>
      </c>
      <c r="J15">
        <f>J14*I14</f>
        <v>98652.346779302185</v>
      </c>
      <c r="N15">
        <f>Table1[[#This Row],[age]]</f>
        <v>21</v>
      </c>
      <c r="O15">
        <f>Table1[[#This Row],[lx_crude]]-F16</f>
        <v>1847.108112259375</v>
      </c>
      <c r="P15">
        <f>Table1[[#This Row],[lx_weighted]]-H16</f>
        <v>1346.8392596282647</v>
      </c>
      <c r="Q15">
        <f>Table1[[#This Row],[lx_splines]]-J16</f>
        <v>1339.2417313819897</v>
      </c>
    </row>
    <row r="16" spans="2:17" x14ac:dyDescent="0.3">
      <c r="D16">
        <f>graduation_data!A4</f>
        <v>22</v>
      </c>
      <c r="E16">
        <f>EXP(-graduation_data!E4)</f>
        <v>0.98679160773091334</v>
      </c>
      <c r="F16">
        <f t="shared" ref="F16:F54" si="0">F15*E15</f>
        <v>96565.623893269134</v>
      </c>
      <c r="G16">
        <f>EXP(-graduation_data!F4)</f>
        <v>0.98608168228814563</v>
      </c>
      <c r="H16">
        <f t="shared" ref="H16:H54" si="1">H15*G15</f>
        <v>97312.421564178512</v>
      </c>
      <c r="I16">
        <f>EXP(-graduation_data!G4)</f>
        <v>0.98631311287057466</v>
      </c>
      <c r="J16">
        <f t="shared" ref="J16:J54" si="2">J15*I15</f>
        <v>97313.105047920195</v>
      </c>
      <c r="N16">
        <f>Table1[[#This Row],[age]]</f>
        <v>22</v>
      </c>
      <c r="O16">
        <f>Table1[[#This Row],[lx_crude]]-F17</f>
        <v>1275.4766400913795</v>
      </c>
      <c r="P16">
        <f>Table1[[#This Row],[lx_weighted]]-H17</f>
        <v>1354.4252006401512</v>
      </c>
      <c r="Q16">
        <f>Table1[[#This Row],[lx_splines]]-J17</f>
        <v>1331.9134850047994</v>
      </c>
    </row>
    <row r="17" spans="4:17" x14ac:dyDescent="0.3">
      <c r="D17">
        <f>graduation_data!A5</f>
        <v>23</v>
      </c>
      <c r="E17">
        <f>EXP(-graduation_data!E5)</f>
        <v>0.99071259065168393</v>
      </c>
      <c r="F17">
        <f t="shared" si="0"/>
        <v>95290.147253177754</v>
      </c>
      <c r="G17">
        <f>EXP(-graduation_data!F5)</f>
        <v>0.98578978764506142</v>
      </c>
      <c r="H17">
        <f t="shared" si="1"/>
        <v>95957.996363538361</v>
      </c>
      <c r="I17">
        <f>EXP(-graduation_data!G5)</f>
        <v>0.98616348839828172</v>
      </c>
      <c r="J17">
        <f t="shared" si="2"/>
        <v>95981.191562915395</v>
      </c>
      <c r="N17">
        <f>Table1[[#This Row],[age]]</f>
        <v>23</v>
      </c>
      <c r="O17">
        <f>Table1[[#This Row],[lx_crude]]-F18</f>
        <v>884.99860440158227</v>
      </c>
      <c r="P17">
        <f>Table1[[#This Row],[lx_weighted]]-H18</f>
        <v>1363.5835054803028</v>
      </c>
      <c r="Q17">
        <f>Table1[[#This Row],[lx_splines]]-J18</f>
        <v>1328.0448706070165</v>
      </c>
    </row>
    <row r="18" spans="4:17" x14ac:dyDescent="0.3">
      <c r="D18">
        <f>graduation_data!A6</f>
        <v>24</v>
      </c>
      <c r="E18">
        <f>EXP(-graduation_data!E6)</f>
        <v>0.99266063963719298</v>
      </c>
      <c r="F18">
        <f t="shared" si="0"/>
        <v>94405.148648776172</v>
      </c>
      <c r="G18">
        <f>EXP(-graduation_data!F6)</f>
        <v>0.98547056035486147</v>
      </c>
      <c r="H18">
        <f t="shared" si="1"/>
        <v>94594.412858058058</v>
      </c>
      <c r="I18">
        <f>EXP(-graduation_data!G6)</f>
        <v>0.98595080651989186</v>
      </c>
      <c r="J18">
        <f t="shared" si="2"/>
        <v>94653.146692308379</v>
      </c>
      <c r="N18">
        <f>Table1[[#This Row],[age]]</f>
        <v>24</v>
      </c>
      <c r="O18">
        <f>Table1[[#This Row],[lx_crude]]-F19</f>
        <v>692.87340603773191</v>
      </c>
      <c r="P18">
        <f>Table1[[#This Row],[lx_weighted]]-H19</f>
        <v>1374.4038123884675</v>
      </c>
      <c r="Q18">
        <f>Table1[[#This Row],[lx_splines]]-J19</f>
        <v>1329.8003713812941</v>
      </c>
    </row>
    <row r="19" spans="4:17" x14ac:dyDescent="0.3">
      <c r="D19">
        <f>graduation_data!A7</f>
        <v>25</v>
      </c>
      <c r="E19">
        <f>EXP(-graduation_data!E7)</f>
        <v>0.98461136868970855</v>
      </c>
      <c r="F19">
        <f t="shared" si="0"/>
        <v>93712.27524273844</v>
      </c>
      <c r="G19">
        <f>EXP(-graduation_data!F7)</f>
        <v>0.98512145119260974</v>
      </c>
      <c r="H19">
        <f t="shared" si="1"/>
        <v>93220.009045669591</v>
      </c>
      <c r="I19">
        <f>EXP(-graduation_data!G7)</f>
        <v>0.98566422717043689</v>
      </c>
      <c r="J19">
        <f t="shared" si="2"/>
        <v>93323.346320927085</v>
      </c>
      <c r="N19">
        <f>Table1[[#This Row],[age]]</f>
        <v>25</v>
      </c>
      <c r="O19">
        <f>Table1[[#This Row],[lx_crude]]-F20</f>
        <v>1442.1036529590492</v>
      </c>
      <c r="P19">
        <f>Table1[[#This Row],[lx_weighted]]-H20</f>
        <v>1386.97845441135</v>
      </c>
      <c r="Q19">
        <f>Table1[[#This Row],[lx_splines]]-J20</f>
        <v>1337.8622925514501</v>
      </c>
    </row>
    <row r="20" spans="4:17" x14ac:dyDescent="0.3">
      <c r="D20">
        <f>graduation_data!A8</f>
        <v>26</v>
      </c>
      <c r="E20">
        <f>EXP(-graduation_data!E8)</f>
        <v>0.98648837130466516</v>
      </c>
      <c r="F20">
        <f t="shared" si="0"/>
        <v>92270.171589779391</v>
      </c>
      <c r="G20">
        <f>EXP(-graduation_data!F8)</f>
        <v>0.98473967517588923</v>
      </c>
      <c r="H20">
        <f t="shared" si="1"/>
        <v>91833.030591258241</v>
      </c>
      <c r="I20">
        <f>EXP(-graduation_data!G8)</f>
        <v>0.98530926980035993</v>
      </c>
      <c r="J20">
        <f t="shared" si="2"/>
        <v>91985.484028375635</v>
      </c>
      <c r="N20">
        <f>Table1[[#This Row],[age]]</f>
        <v>26</v>
      </c>
      <c r="O20">
        <f>Table1[[#This Row],[lx_crude]]-F21</f>
        <v>1246.7202981759328</v>
      </c>
      <c r="P20">
        <f>Table1[[#This Row],[lx_weighted]]-H21</f>
        <v>1401.4018764050998</v>
      </c>
      <c r="Q20">
        <f>Table1[[#This Row],[lx_splines]]-J21</f>
        <v>1351.3339281441731</v>
      </c>
    </row>
    <row r="21" spans="4:17" x14ac:dyDescent="0.3">
      <c r="D21">
        <f>graduation_data!A9</f>
        <v>27</v>
      </c>
      <c r="E21">
        <f>EXP(-graduation_data!E9)</f>
        <v>0.98437170862618129</v>
      </c>
      <c r="F21">
        <f t="shared" si="0"/>
        <v>91023.451291603458</v>
      </c>
      <c r="G21">
        <f>EXP(-graduation_data!F9)</f>
        <v>0.9843221901555278</v>
      </c>
      <c r="H21">
        <f t="shared" si="1"/>
        <v>90431.628714853141</v>
      </c>
      <c r="I21">
        <f>EXP(-graduation_data!G9)</f>
        <v>0.98489345336827938</v>
      </c>
      <c r="J21">
        <f t="shared" si="2"/>
        <v>90634.150100231462</v>
      </c>
      <c r="N21">
        <f>Table1[[#This Row],[age]]</f>
        <v>27</v>
      </c>
      <c r="O21">
        <f>Table1[[#This Row],[lx_crude]]-F22</f>
        <v>1422.5410186357767</v>
      </c>
      <c r="P21">
        <f>Table1[[#This Row],[lx_weighted]]-H22</f>
        <v>1417.7698789173737</v>
      </c>
      <c r="Q21">
        <f>Table1[[#This Row],[lx_splines]]-J22</f>
        <v>1369.1690149155183</v>
      </c>
    </row>
    <row r="22" spans="4:17" x14ac:dyDescent="0.3">
      <c r="D22">
        <f>graduation_data!A10</f>
        <v>28</v>
      </c>
      <c r="E22">
        <f>EXP(-graduation_data!E10)</f>
        <v>0.98503963731053767</v>
      </c>
      <c r="F22">
        <f t="shared" si="0"/>
        <v>89600.910272967682</v>
      </c>
      <c r="G22">
        <f>EXP(-graduation_data!F10)</f>
        <v>0.98386567354013743</v>
      </c>
      <c r="H22">
        <f t="shared" si="1"/>
        <v>89013.858835935767</v>
      </c>
      <c r="I22">
        <f>EXP(-graduation_data!G10)</f>
        <v>0.98442580039416694</v>
      </c>
      <c r="J22">
        <f t="shared" si="2"/>
        <v>89264.981085315943</v>
      </c>
      <c r="N22">
        <f>Table1[[#This Row],[age]]</f>
        <v>28</v>
      </c>
      <c r="O22">
        <f>Table1[[#This Row],[lx_crude]]-F23</f>
        <v>1340.4621149895684</v>
      </c>
      <c r="P22">
        <f>Table1[[#This Row],[lx_weighted]]-H23</f>
        <v>1436.1786579111067</v>
      </c>
      <c r="Q22">
        <f>Table1[[#This Row],[lx_splines]]-J23</f>
        <v>1390.2306332336302</v>
      </c>
    </row>
    <row r="23" spans="4:17" x14ac:dyDescent="0.3">
      <c r="D23">
        <f>graduation_data!A11</f>
        <v>29</v>
      </c>
      <c r="E23">
        <f>EXP(-graduation_data!E11)</f>
        <v>0.97338708606128233</v>
      </c>
      <c r="F23">
        <f t="shared" si="0"/>
        <v>88260.448157978113</v>
      </c>
      <c r="G23">
        <f>EXP(-graduation_data!F11)</f>
        <v>0.98336649700743217</v>
      </c>
      <c r="H23">
        <f t="shared" si="1"/>
        <v>87577.680178024661</v>
      </c>
      <c r="I23">
        <f>EXP(-graduation_data!G11)</f>
        <v>0.98391520178650282</v>
      </c>
      <c r="J23">
        <f t="shared" si="2"/>
        <v>87874.750452082313</v>
      </c>
      <c r="N23">
        <f>Table1[[#This Row],[age]]</f>
        <v>29</v>
      </c>
      <c r="O23">
        <f>Table1[[#This Row],[lx_crude]]-F24</f>
        <v>2348.8677110209246</v>
      </c>
      <c r="P23">
        <f>Table1[[#This Row],[lx_weighted]]-H24</f>
        <v>1456.723605323321</v>
      </c>
      <c r="Q23">
        <f>Table1[[#This Row],[lx_splines]]-J24</f>
        <v>1413.4476290831662</v>
      </c>
    </row>
    <row r="24" spans="4:17" x14ac:dyDescent="0.3">
      <c r="D24">
        <f>graduation_data!A12</f>
        <v>30</v>
      </c>
      <c r="E24">
        <f>EXP(-graduation_data!E12)</f>
        <v>0.97525847695240553</v>
      </c>
      <c r="F24">
        <f t="shared" si="0"/>
        <v>85911.580446957189</v>
      </c>
      <c r="G24">
        <f>EXP(-graduation_data!F12)</f>
        <v>0.9828206990469428</v>
      </c>
      <c r="H24">
        <f t="shared" si="1"/>
        <v>86120.95657270134</v>
      </c>
      <c r="I24">
        <f>EXP(-graduation_data!G12)</f>
        <v>0.98336699657187454</v>
      </c>
      <c r="J24">
        <f t="shared" si="2"/>
        <v>86461.302822999147</v>
      </c>
      <c r="N24">
        <f>Table1[[#This Row],[age]]</f>
        <v>30</v>
      </c>
      <c r="O24">
        <f>Table1[[#This Row],[lx_crude]]-F25</f>
        <v>2125.583347683656</v>
      </c>
      <c r="P24">
        <f>Table1[[#This Row],[lx_weighted]]-H25</f>
        <v>1479.4978313276079</v>
      </c>
      <c r="Q24">
        <f>Table1[[#This Row],[lx_splines]]-J25</f>
        <v>1438.1111462551344</v>
      </c>
    </row>
    <row r="25" spans="4:17" x14ac:dyDescent="0.3">
      <c r="D25">
        <f>graduation_data!A13</f>
        <v>31</v>
      </c>
      <c r="E25">
        <f>EXP(-graduation_data!E13)</f>
        <v>0.98776880820265711</v>
      </c>
      <c r="F25">
        <f t="shared" si="0"/>
        <v>83785.997099273533</v>
      </c>
      <c r="G25">
        <f>EXP(-graduation_data!F13)</f>
        <v>0.98222395517065675</v>
      </c>
      <c r="H25">
        <f t="shared" si="1"/>
        <v>84641.458741373732</v>
      </c>
      <c r="I25">
        <f>EXP(-graduation_data!G13)</f>
        <v>0.98276606236638686</v>
      </c>
      <c r="J25">
        <f t="shared" si="2"/>
        <v>85023.191676744013</v>
      </c>
      <c r="N25">
        <f>Table1[[#This Row],[age]]</f>
        <v>31</v>
      </c>
      <c r="O25">
        <f>Table1[[#This Row],[lx_crude]]-F26</f>
        <v>1024.8026004528365</v>
      </c>
      <c r="P25">
        <f>Table1[[#This Row],[lx_weighted]]-H26</f>
        <v>1504.5903650076652</v>
      </c>
      <c r="Q25">
        <f>Table1[[#This Row],[lx_splines]]-J26</f>
        <v>1465.2843827677425</v>
      </c>
    </row>
    <row r="26" spans="4:17" x14ac:dyDescent="0.3">
      <c r="D26">
        <f>graduation_data!A14</f>
        <v>32</v>
      </c>
      <c r="E26">
        <f>EXP(-graduation_data!E14)</f>
        <v>0.9889577117804691</v>
      </c>
      <c r="F26">
        <f t="shared" si="0"/>
        <v>82761.194498820696</v>
      </c>
      <c r="G26">
        <f>EXP(-graduation_data!F14)</f>
        <v>0.98157154562050719</v>
      </c>
      <c r="H26">
        <f t="shared" si="1"/>
        <v>83136.868376366067</v>
      </c>
      <c r="I26">
        <f>EXP(-graduation_data!G14)</f>
        <v>0.98208200901622089</v>
      </c>
      <c r="J26">
        <f t="shared" si="2"/>
        <v>83557.90729397627</v>
      </c>
      <c r="N26">
        <f>Table1[[#This Row],[age]]</f>
        <v>32</v>
      </c>
      <c r="O26">
        <f>Table1[[#This Row],[lx_crude]]-F27</f>
        <v>913.87296304863412</v>
      </c>
      <c r="P26">
        <f>Table1[[#This Row],[lx_weighted]]-H27</f>
        <v>1532.0839861277636</v>
      </c>
      <c r="Q26">
        <f>Table1[[#This Row],[lx_splines]]-J27</f>
        <v>1497.1898295169231</v>
      </c>
    </row>
    <row r="27" spans="4:17" x14ac:dyDescent="0.3">
      <c r="D27">
        <f>graduation_data!A15</f>
        <v>33</v>
      </c>
      <c r="E27">
        <f>EXP(-graduation_data!E15)</f>
        <v>0.97879974672213932</v>
      </c>
      <c r="F27">
        <f t="shared" si="0"/>
        <v>81847.321535772062</v>
      </c>
      <c r="G27">
        <f>EXP(-graduation_data!F15)</f>
        <v>0.98085832039477761</v>
      </c>
      <c r="H27">
        <f t="shared" si="1"/>
        <v>81604.784390238303</v>
      </c>
      <c r="I27">
        <f>EXP(-graduation_data!G15)</f>
        <v>0.98129123869149948</v>
      </c>
      <c r="J27">
        <f t="shared" si="2"/>
        <v>82060.717464459347</v>
      </c>
      <c r="N27">
        <f>Table1[[#This Row],[age]]</f>
        <v>33</v>
      </c>
      <c r="O27">
        <f>Table1[[#This Row],[lx_crude]]-F28</f>
        <v>1735.1839466728707</v>
      </c>
      <c r="P27">
        <f>Table1[[#This Row],[lx_weighted]]-H28</f>
        <v>1562.0526370511943</v>
      </c>
      <c r="Q27">
        <f>Table1[[#This Row],[lx_splines]]-J28</f>
        <v>1535.2543758468673</v>
      </c>
    </row>
    <row r="28" spans="4:17" x14ac:dyDescent="0.3">
      <c r="D28">
        <f>graduation_data!A16</f>
        <v>34</v>
      </c>
      <c r="E28">
        <f>EXP(-graduation_data!E16)</f>
        <v>0.99183136195014088</v>
      </c>
      <c r="F28">
        <f t="shared" si="0"/>
        <v>80112.137589099191</v>
      </c>
      <c r="G28">
        <f>EXP(-graduation_data!F16)</f>
        <v>0.98007866140973188</v>
      </c>
      <c r="H28">
        <f t="shared" si="1"/>
        <v>80042.731753187109</v>
      </c>
      <c r="I28">
        <f>EXP(-graduation_data!G16)</f>
        <v>0.98038099943882473</v>
      </c>
      <c r="J28">
        <f t="shared" si="2"/>
        <v>80525.46308861248</v>
      </c>
      <c r="N28">
        <f>Table1[[#This Row],[age]]</f>
        <v>34</v>
      </c>
      <c r="O28">
        <f>Table1[[#This Row],[lx_crude]]-F29</f>
        <v>654.40705536586756</v>
      </c>
      <c r="P28">
        <f>Table1[[#This Row],[lx_weighted]]-H29</f>
        <v>1594.5583609452442</v>
      </c>
      <c r="Q28">
        <f>Table1[[#This Row],[lx_splines]]-J29</f>
        <v>1579.8291055243899</v>
      </c>
    </row>
    <row r="29" spans="4:17" x14ac:dyDescent="0.3">
      <c r="D29">
        <f>graduation_data!A17</f>
        <v>35</v>
      </c>
      <c r="E29">
        <f>EXP(-graduation_data!E17)</f>
        <v>0.9765364865553835</v>
      </c>
      <c r="F29">
        <f t="shared" si="0"/>
        <v>79457.730533733324</v>
      </c>
      <c r="G29">
        <f>EXP(-graduation_data!F17)</f>
        <v>0.97922644160854788</v>
      </c>
      <c r="H29">
        <f t="shared" si="1"/>
        <v>78448.173392241864</v>
      </c>
      <c r="I29">
        <f>EXP(-graduation_data!G17)</f>
        <v>0.97934132289136977</v>
      </c>
      <c r="J29">
        <f t="shared" si="2"/>
        <v>78945.63398308809</v>
      </c>
      <c r="N29">
        <f>Table1[[#This Row],[age]]</f>
        <v>35</v>
      </c>
      <c r="O29">
        <f>Table1[[#This Row],[lx_crude]]-F30</f>
        <v>1864.3575286569685</v>
      </c>
      <c r="P29">
        <f>Table1[[#This Row],[lx_weighted]]-H30</f>
        <v>1629.647710666497</v>
      </c>
      <c r="Q29">
        <f>Table1[[#This Row],[lx_splines]]-J30</f>
        <v>1630.9123615927238</v>
      </c>
    </row>
    <row r="30" spans="4:17" x14ac:dyDescent="0.3">
      <c r="D30">
        <f>graduation_data!A18</f>
        <v>36</v>
      </c>
      <c r="E30">
        <f>EXP(-graduation_data!E18)</f>
        <v>0.98198761232611631</v>
      </c>
      <c r="F30">
        <f t="shared" si="0"/>
        <v>77593.373005076355</v>
      </c>
      <c r="G30">
        <f>EXP(-graduation_data!F18)</f>
        <v>0.97829498082743693</v>
      </c>
      <c r="H30">
        <f t="shared" si="1"/>
        <v>76818.525681575367</v>
      </c>
      <c r="I30">
        <f>EXP(-graduation_data!G18)</f>
        <v>0.9781752137826587</v>
      </c>
      <c r="J30">
        <f t="shared" si="2"/>
        <v>77314.721621495366</v>
      </c>
      <c r="N30">
        <f>Table1[[#This Row],[age]]</f>
        <v>36</v>
      </c>
      <c r="O30">
        <f>Table1[[#This Row],[lx_crude]]-F31</f>
        <v>1397.6419154916948</v>
      </c>
      <c r="P30">
        <f>Table1[[#This Row],[lx_weighted]]-H31</f>
        <v>1667.3475727266195</v>
      </c>
      <c r="Q30">
        <f>Table1[[#This Row],[lx_splines]]-J31</f>
        <v>1687.377270842393</v>
      </c>
    </row>
    <row r="31" spans="4:17" x14ac:dyDescent="0.3">
      <c r="D31">
        <f>graduation_data!A19</f>
        <v>37</v>
      </c>
      <c r="E31">
        <f>EXP(-graduation_data!E19)</f>
        <v>0.96938684323112889</v>
      </c>
      <c r="F31">
        <f t="shared" si="0"/>
        <v>76195.73108958466</v>
      </c>
      <c r="G31">
        <f>EXP(-graduation_data!F19)</f>
        <v>0.97727699822931291</v>
      </c>
      <c r="H31">
        <f t="shared" si="1"/>
        <v>75151.178108848748</v>
      </c>
      <c r="I31">
        <f>EXP(-graduation_data!G19)</f>
        <v>0.97688702301779751</v>
      </c>
      <c r="J31">
        <f t="shared" si="2"/>
        <v>75627.344350652973</v>
      </c>
      <c r="N31">
        <f>Table1[[#This Row],[age]]</f>
        <v>37</v>
      </c>
      <c r="O31">
        <f>Table1[[#This Row],[lx_crude]]-F32</f>
        <v>2332.5918609641958</v>
      </c>
      <c r="P31">
        <f>Table1[[#This Row],[lx_weighted]]-H32</f>
        <v>1707.6603532365843</v>
      </c>
      <c r="Q31">
        <f>Table1[[#This Row],[lx_splines]]-J32</f>
        <v>1747.9730692017474</v>
      </c>
    </row>
    <row r="32" spans="4:17" x14ac:dyDescent="0.3">
      <c r="D32">
        <f>graduation_data!A20</f>
        <v>38</v>
      </c>
      <c r="E32">
        <f>EXP(-graduation_data!E20)</f>
        <v>0.98006119941717385</v>
      </c>
      <c r="F32">
        <f t="shared" si="0"/>
        <v>73863.139228620465</v>
      </c>
      <c r="G32">
        <f>EXP(-graduation_data!F20)</f>
        <v>0.97616456111930361</v>
      </c>
      <c r="H32">
        <f t="shared" si="1"/>
        <v>73443.517755612163</v>
      </c>
      <c r="I32">
        <f>EXP(-graduation_data!G20)</f>
        <v>0.97548260975275491</v>
      </c>
      <c r="J32">
        <f t="shared" si="2"/>
        <v>73879.371281451226</v>
      </c>
      <c r="N32">
        <f>Table1[[#This Row],[age]]</f>
        <v>38</v>
      </c>
      <c r="O32">
        <f>Table1[[#This Row],[lx_crude]]-F33</f>
        <v>1472.7424035009899</v>
      </c>
      <c r="P32">
        <f>Table1[[#This Row],[lx_weighted]]-H33</f>
        <v>1750.5584786472318</v>
      </c>
      <c r="Q32">
        <f>Table1[[#This Row],[lx_splines]]-J33</f>
        <v>1811.3293769284501</v>
      </c>
    </row>
    <row r="33" spans="4:17" x14ac:dyDescent="0.3">
      <c r="D33">
        <f>graduation_data!A21</f>
        <v>39</v>
      </c>
      <c r="E33">
        <f>EXP(-graduation_data!E21)</f>
        <v>0.97384770954627586</v>
      </c>
      <c r="F33">
        <f t="shared" si="0"/>
        <v>72390.396825119475</v>
      </c>
      <c r="G33">
        <f>EXP(-graduation_data!F21)</f>
        <v>0.97494902996469301</v>
      </c>
      <c r="H33">
        <f t="shared" si="1"/>
        <v>71692.959276964932</v>
      </c>
      <c r="I33">
        <f>EXP(-graduation_data!G21)</f>
        <v>0.97396187021832881</v>
      </c>
      <c r="J33">
        <f t="shared" si="2"/>
        <v>72068.041904522775</v>
      </c>
      <c r="N33">
        <f>Table1[[#This Row],[age]]</f>
        <v>39</v>
      </c>
      <c r="O33">
        <f>Table1[[#This Row],[lx_crude]]-F34</f>
        <v>1893.1746838308754</v>
      </c>
      <c r="P33">
        <f>Table1[[#This Row],[lx_weighted]]-H34</f>
        <v>1795.9781745897344</v>
      </c>
      <c r="Q33">
        <f>Table1[[#This Row],[lx_splines]]-J34</f>
        <v>1876.5170282208855</v>
      </c>
    </row>
    <row r="34" spans="4:17" x14ac:dyDescent="0.3">
      <c r="D34">
        <f>graduation_data!A22</f>
        <v>40</v>
      </c>
      <c r="E34">
        <f>EXP(-graduation_data!E22)</f>
        <v>0.96169960552850675</v>
      </c>
      <c r="F34">
        <f t="shared" si="0"/>
        <v>70497.222141288599</v>
      </c>
      <c r="G34">
        <f>EXP(-graduation_data!F22)</f>
        <v>0.9736209994556726</v>
      </c>
      <c r="H34">
        <f t="shared" si="1"/>
        <v>69896.981102375197</v>
      </c>
      <c r="I34">
        <f>EXP(-graduation_data!G22)</f>
        <v>0.97232742052915566</v>
      </c>
      <c r="J34">
        <f t="shared" si="2"/>
        <v>70191.52487630189</v>
      </c>
      <c r="N34">
        <f>Table1[[#This Row],[age]]</f>
        <v>40</v>
      </c>
      <c r="O34">
        <f>Table1[[#This Row],[lx_crude]]-F35</f>
        <v>2700.0714171558357</v>
      </c>
      <c r="P34">
        <f>Table1[[#This Row],[lx_weighted]]-H35</f>
        <v>1843.812502546396</v>
      </c>
      <c r="Q34">
        <f>Table1[[#This Row],[lx_splines]]-J35</f>
        <v>1942.3805503192125</v>
      </c>
    </row>
    <row r="35" spans="4:17" x14ac:dyDescent="0.3">
      <c r="D35">
        <f>graduation_data!A23</f>
        <v>41</v>
      </c>
      <c r="E35">
        <f>EXP(-graduation_data!E23)</f>
        <v>0.96821647320708326</v>
      </c>
      <c r="F35">
        <f t="shared" si="0"/>
        <v>67797.150724132764</v>
      </c>
      <c r="G35">
        <f>EXP(-graduation_data!F23)</f>
        <v>0.97217023546389147</v>
      </c>
      <c r="H35">
        <f t="shared" si="1"/>
        <v>68053.168599828801</v>
      </c>
      <c r="I35">
        <f>EXP(-graduation_data!G23)</f>
        <v>0.9705804668146677</v>
      </c>
      <c r="J35">
        <f t="shared" si="2"/>
        <v>68249.144325982677</v>
      </c>
      <c r="N35">
        <f>Table1[[#This Row],[age]]</f>
        <v>41</v>
      </c>
      <c r="O35">
        <f>Table1[[#This Row],[lx_crude]]-F36</f>
        <v>2154.832556523892</v>
      </c>
      <c r="P35">
        <f>Table1[[#This Row],[lx_weighted]]-H36</f>
        <v>1893.9036580693355</v>
      </c>
      <c r="Q35">
        <f>Table1[[#This Row],[lx_splines]]-J36</f>
        <v>2007.8579663687851</v>
      </c>
    </row>
    <row r="36" spans="4:17" x14ac:dyDescent="0.3">
      <c r="D36">
        <f>graduation_data!A24</f>
        <v>42</v>
      </c>
      <c r="E36">
        <f>EXP(-graduation_data!E24)</f>
        <v>0.97557625009654547</v>
      </c>
      <c r="F36">
        <f t="shared" si="0"/>
        <v>65642.318167608872</v>
      </c>
      <c r="G36">
        <f>EXP(-graduation_data!F24)</f>
        <v>0.97058560778481373</v>
      </c>
      <c r="H36">
        <f t="shared" si="1"/>
        <v>66159.264941759466</v>
      </c>
      <c r="I36">
        <f>EXP(-graduation_data!G24)</f>
        <v>0.96871165533067349</v>
      </c>
      <c r="J36">
        <f t="shared" si="2"/>
        <v>66241.286359613892</v>
      </c>
      <c r="N36">
        <f>Table1[[#This Row],[age]]</f>
        <v>42</v>
      </c>
      <c r="O36">
        <f>Table1[[#This Row],[lx_crude]]-F37</f>
        <v>1603.2315620086665</v>
      </c>
      <c r="P36">
        <f>Table1[[#This Row],[lx_weighted]]-H37</f>
        <v>1946.0345676653378</v>
      </c>
      <c r="Q36">
        <f>Table1[[#This Row],[lx_splines]]-J37</f>
        <v>2072.5801989591564</v>
      </c>
    </row>
    <row r="37" spans="4:17" x14ac:dyDescent="0.3">
      <c r="D37">
        <f>graduation_data!A25</f>
        <v>43</v>
      </c>
      <c r="E37">
        <f>EXP(-graduation_data!E25)</f>
        <v>0.97114263884760577</v>
      </c>
      <c r="F37">
        <f t="shared" si="0"/>
        <v>64039.086605600205</v>
      </c>
      <c r="G37">
        <f>EXP(-graduation_data!F25)</f>
        <v>0.96885501858920775</v>
      </c>
      <c r="H37">
        <f t="shared" si="1"/>
        <v>64213.230374094128</v>
      </c>
      <c r="I37">
        <f>EXP(-graduation_data!G25)</f>
        <v>0.96670859185201885</v>
      </c>
      <c r="J37">
        <f t="shared" si="2"/>
        <v>64168.706160654736</v>
      </c>
      <c r="N37">
        <f>Table1[[#This Row],[age]]</f>
        <v>43</v>
      </c>
      <c r="O37">
        <f>Table1[[#This Row],[lx_crude]]-F38</f>
        <v>1847.9990500472559</v>
      </c>
      <c r="P37">
        <f>Table1[[#This Row],[lx_weighted]]-H38</f>
        <v>1999.919866328084</v>
      </c>
      <c r="Q37">
        <f>Table1[[#This Row],[lx_splines]]-J38</f>
        <v>2136.2665871222271</v>
      </c>
    </row>
    <row r="38" spans="4:17" x14ac:dyDescent="0.3">
      <c r="D38">
        <f>graduation_data!A26</f>
        <v>44</v>
      </c>
      <c r="E38">
        <f>EXP(-graduation_data!E26)</f>
        <v>0.96633195735444366</v>
      </c>
      <c r="F38">
        <f t="shared" si="0"/>
        <v>62191.087555552949</v>
      </c>
      <c r="G38">
        <f>EXP(-graduation_data!F26)</f>
        <v>0.96696532656091572</v>
      </c>
      <c r="H38">
        <f t="shared" si="1"/>
        <v>62213.310507766044</v>
      </c>
      <c r="I38">
        <f>EXP(-graduation_data!G26)</f>
        <v>0.96456520356945119</v>
      </c>
      <c r="J38">
        <f t="shared" si="2"/>
        <v>62032.439573532509</v>
      </c>
      <c r="N38">
        <f>Table1[[#This Row],[age]]</f>
        <v>44</v>
      </c>
      <c r="O38">
        <f>Table1[[#This Row],[lx_crude]]-F39</f>
        <v>2093.8521879938853</v>
      </c>
      <c r="P38">
        <f>Table1[[#This Row],[lx_weighted]]-H39</f>
        <v>2055.196396188403</v>
      </c>
      <c r="Q38">
        <f>Table1[[#This Row],[lx_splines]]-J39</f>
        <v>2198.106868378447</v>
      </c>
    </row>
    <row r="39" spans="4:17" x14ac:dyDescent="0.3">
      <c r="D39">
        <f>graduation_data!A27</f>
        <v>45</v>
      </c>
      <c r="E39">
        <f>EXP(-graduation_data!E27)</f>
        <v>0.9405545329876579</v>
      </c>
      <c r="F39">
        <f t="shared" si="0"/>
        <v>60097.235367559064</v>
      </c>
      <c r="G39">
        <f>EXP(-graduation_data!F27)</f>
        <v>0.96490226676500035</v>
      </c>
      <c r="H39">
        <f t="shared" si="1"/>
        <v>60158.114111577641</v>
      </c>
      <c r="I39">
        <f>EXP(-graduation_data!G27)</f>
        <v>0.96228087671660056</v>
      </c>
      <c r="J39">
        <f t="shared" si="2"/>
        <v>59834.332705154062</v>
      </c>
      <c r="N39">
        <f>Table1[[#This Row],[age]]</f>
        <v>45</v>
      </c>
      <c r="O39">
        <f>Table1[[#This Row],[lx_crude]]-F40</f>
        <v>3572.5082225751903</v>
      </c>
      <c r="P39">
        <f>Table1[[#This Row],[lx_weighted]]-H40</f>
        <v>2111.4134410088227</v>
      </c>
      <c r="Q39">
        <f>Table1[[#This Row],[lx_splines]]-J40</f>
        <v>2256.898571885642</v>
      </c>
    </row>
    <row r="40" spans="4:17" x14ac:dyDescent="0.3">
      <c r="D40">
        <f>graduation_data!A28</f>
        <v>46</v>
      </c>
      <c r="E40">
        <f>EXP(-graduation_data!E28)</f>
        <v>0.98120498595572625</v>
      </c>
      <c r="F40">
        <f t="shared" si="0"/>
        <v>56524.727144983874</v>
      </c>
      <c r="G40">
        <f>EXP(-graduation_data!F28)</f>
        <v>0.96265036637545975</v>
      </c>
      <c r="H40">
        <f t="shared" si="1"/>
        <v>58046.700670568818</v>
      </c>
      <c r="I40">
        <f>EXP(-graduation_data!G28)</f>
        <v>0.95985332154246084</v>
      </c>
      <c r="J40">
        <f t="shared" si="2"/>
        <v>57577.43413326842</v>
      </c>
      <c r="N40">
        <f>Table1[[#This Row],[age]]</f>
        <v>46</v>
      </c>
      <c r="O40">
        <f>Table1[[#This Row],[lx_crude]]-F41</f>
        <v>1062.3830405387125</v>
      </c>
      <c r="P40">
        <f>Table1[[#This Row],[lx_weighted]]-H41</f>
        <v>2168.0230031590982</v>
      </c>
      <c r="Q40">
        <f>Table1[[#This Row],[lx_splines]]-J41</f>
        <v>2311.5427345584685</v>
      </c>
    </row>
    <row r="41" spans="4:17" x14ac:dyDescent="0.3">
      <c r="D41">
        <f>graduation_data!A29</f>
        <v>47</v>
      </c>
      <c r="E41">
        <f>EXP(-graduation_data!E29)</f>
        <v>0.95701183250383648</v>
      </c>
      <c r="F41">
        <f t="shared" si="0"/>
        <v>55462.344104445161</v>
      </c>
      <c r="G41">
        <f>EXP(-graduation_data!F29)</f>
        <v>0.96019285649849628</v>
      </c>
      <c r="H41">
        <f t="shared" si="1"/>
        <v>55878.67766740972</v>
      </c>
      <c r="I41">
        <f>EXP(-graduation_data!G29)</f>
        <v>0.95726836837936502</v>
      </c>
      <c r="J41">
        <f t="shared" si="2"/>
        <v>55265.891398709951</v>
      </c>
      <c r="N41">
        <f>Table1[[#This Row],[age]]</f>
        <v>47</v>
      </c>
      <c r="O41">
        <f>Table1[[#This Row],[lx_crude]]-F42</f>
        <v>2384.2245380917448</v>
      </c>
      <c r="P41">
        <f>Table1[[#This Row],[lx_weighted]]-H42</f>
        <v>2224.3705405808505</v>
      </c>
      <c r="Q41">
        <f>Table1[[#This Row],[lx_splines]]-J42</f>
        <v>2361.6017124356949</v>
      </c>
    </row>
    <row r="42" spans="4:17" x14ac:dyDescent="0.3">
      <c r="D42">
        <f>graduation_data!A30</f>
        <v>48</v>
      </c>
      <c r="E42">
        <f>EXP(-graduation_data!E30)</f>
        <v>0.94680548504763595</v>
      </c>
      <c r="F42">
        <f t="shared" si="0"/>
        <v>53078.119566353416</v>
      </c>
      <c r="G42">
        <f>EXP(-graduation_data!F30)</f>
        <v>0.95751158045986839</v>
      </c>
      <c r="H42">
        <f t="shared" si="1"/>
        <v>53654.30712682887</v>
      </c>
      <c r="I42">
        <f>EXP(-graduation_data!G30)</f>
        <v>0.95452263511792357</v>
      </c>
      <c r="J42">
        <f t="shared" si="2"/>
        <v>52904.289686274256</v>
      </c>
      <c r="N42">
        <f>Table1[[#This Row],[age]]</f>
        <v>48</v>
      </c>
      <c r="O42">
        <f>Table1[[#This Row],[lx_crude]]-F43</f>
        <v>2823.4648249157544</v>
      </c>
      <c r="P42">
        <f>Table1[[#This Row],[lx_weighted]]-H43</f>
        <v>2279.6867113397748</v>
      </c>
      <c r="Q42">
        <f>Table1[[#This Row],[lx_splines]]-J43</f>
        <v>2405.9476858897688</v>
      </c>
    </row>
    <row r="43" spans="4:17" x14ac:dyDescent="0.3">
      <c r="D43">
        <f>graduation_data!A31</f>
        <v>49</v>
      </c>
      <c r="E43">
        <f>EXP(-graduation_data!E31)</f>
        <v>0.9652112119159284</v>
      </c>
      <c r="F43">
        <f t="shared" si="0"/>
        <v>50254.654741437662</v>
      </c>
      <c r="G43">
        <f>EXP(-graduation_data!F31)</f>
        <v>0.95458689908782624</v>
      </c>
      <c r="H43">
        <f t="shared" si="1"/>
        <v>51374.620415489095</v>
      </c>
      <c r="I43">
        <f>EXP(-graduation_data!G31)</f>
        <v>0.95161511753767969</v>
      </c>
      <c r="J43">
        <f t="shared" si="2"/>
        <v>50498.342000384488</v>
      </c>
      <c r="N43">
        <f>Table1[[#This Row],[age]]</f>
        <v>49</v>
      </c>
      <c r="O43">
        <f>Table1[[#This Row],[lx_crude]]-F44</f>
        <v>1748.2985340380619</v>
      </c>
      <c r="P43">
        <f>Table1[[#This Row],[lx_weighted]]-H44</f>
        <v>2333.0808212532284</v>
      </c>
      <c r="Q43">
        <f>Table1[[#This Row],[lx_splines]]-J44</f>
        <v>2443.3563422306543</v>
      </c>
    </row>
    <row r="44" spans="4:17" x14ac:dyDescent="0.3">
      <c r="D44">
        <f>graduation_data!A32</f>
        <v>50</v>
      </c>
      <c r="E44">
        <f>EXP(-graduation_data!E32)</f>
        <v>0.97243315209450054</v>
      </c>
      <c r="F44">
        <f t="shared" si="0"/>
        <v>48506.3562073996</v>
      </c>
      <c r="G44">
        <f>EXP(-graduation_data!F32)</f>
        <v>0.95139759372181998</v>
      </c>
      <c r="H44">
        <f t="shared" si="1"/>
        <v>49041.539594235866</v>
      </c>
      <c r="I44">
        <f>EXP(-graduation_data!G32)</f>
        <v>0.94854205709819295</v>
      </c>
      <c r="J44">
        <f t="shared" si="2"/>
        <v>48054.985658153833</v>
      </c>
      <c r="N44">
        <f>Table1[[#This Row],[age]]</f>
        <v>50</v>
      </c>
      <c r="O44">
        <f>Table1[[#This Row],[lx_crude]]-F45</f>
        <v>1337.1673440193626</v>
      </c>
      <c r="P44">
        <f>Table1[[#This Row],[lx_weighted]]-H45</f>
        <v>2383.536831866506</v>
      </c>
      <c r="Q44">
        <f>Table1[[#This Row],[lx_splines]]-J45</f>
        <v>2472.8107081444396</v>
      </c>
    </row>
    <row r="45" spans="4:17" x14ac:dyDescent="0.3">
      <c r="D45">
        <f>graduation_data!A33</f>
        <v>51</v>
      </c>
      <c r="E45">
        <f>EXP(-graduation_data!E33)</f>
        <v>0.92907760213590218</v>
      </c>
      <c r="F45">
        <f t="shared" si="0"/>
        <v>47169.188863380237</v>
      </c>
      <c r="G45">
        <f>EXP(-graduation_data!F33)</f>
        <v>0.94792076791754709</v>
      </c>
      <c r="H45">
        <f t="shared" si="1"/>
        <v>46658.00276236936</v>
      </c>
      <c r="I45">
        <f>EXP(-graduation_data!G33)</f>
        <v>0.94530993007293951</v>
      </c>
      <c r="J45">
        <f t="shared" si="2"/>
        <v>45582.174950009394</v>
      </c>
      <c r="N45">
        <f>Table1[[#This Row],[age]]</f>
        <v>51</v>
      </c>
      <c r="O45">
        <f>Table1[[#This Row],[lx_crude]]-F46</f>
        <v>3345.3519794954263</v>
      </c>
      <c r="P45">
        <f>Table1[[#This Row],[lx_weighted]]-H46</f>
        <v>2429.9129543651652</v>
      </c>
      <c r="Q45">
        <f>Table1[[#This Row],[lx_splines]]-J46</f>
        <v>2492.8923354435174</v>
      </c>
    </row>
    <row r="46" spans="4:17" x14ac:dyDescent="0.3">
      <c r="D46">
        <f>graduation_data!A34</f>
        <v>52</v>
      </c>
      <c r="E46">
        <f>EXP(-graduation_data!E34)</f>
        <v>0.97451868849692225</v>
      </c>
      <c r="F46">
        <f t="shared" si="0"/>
        <v>43823.836883884811</v>
      </c>
      <c r="G46">
        <f>EXP(-graduation_data!F34)</f>
        <v>0.94413174910761322</v>
      </c>
      <c r="H46">
        <f t="shared" si="1"/>
        <v>44228.089808004195</v>
      </c>
      <c r="I46">
        <f>EXP(-graduation_data!G34)</f>
        <v>0.94193825488406824</v>
      </c>
      <c r="J46">
        <f t="shared" si="2"/>
        <v>43089.282614565876</v>
      </c>
      <c r="N46">
        <f>Table1[[#This Row],[age]]</f>
        <v>52</v>
      </c>
      <c r="O46">
        <f>Table1[[#This Row],[lx_crude]]-F47</f>
        <v>1116.6888388983352</v>
      </c>
      <c r="P46">
        <f>Table1[[#This Row],[lx_weighted]]-H47</f>
        <v>2470.9460178845911</v>
      </c>
      <c r="Q46">
        <f>Table1[[#This Row],[lx_splines]]-J47</f>
        <v>2501.8389443952765</v>
      </c>
    </row>
    <row r="47" spans="4:17" x14ac:dyDescent="0.3">
      <c r="D47">
        <f>graduation_data!A35</f>
        <v>53</v>
      </c>
      <c r="E47">
        <f>EXP(-graduation_data!E35)</f>
        <v>0.91672817563291253</v>
      </c>
      <c r="F47">
        <f t="shared" si="0"/>
        <v>42707.148044986476</v>
      </c>
      <c r="G47">
        <f>EXP(-graduation_data!F35)</f>
        <v>0.94000399182141747</v>
      </c>
      <c r="H47">
        <f t="shared" si="1"/>
        <v>41757.143790119604</v>
      </c>
      <c r="I47">
        <f>EXP(-graduation_data!G35)</f>
        <v>0.93844498159820466</v>
      </c>
      <c r="J47">
        <f t="shared" si="2"/>
        <v>40587.4436701706</v>
      </c>
      <c r="N47">
        <f>Table1[[#This Row],[age]]</f>
        <v>53</v>
      </c>
      <c r="O47">
        <f>Table1[[#This Row],[lx_crude]]-F48</f>
        <v>3556.3021312213168</v>
      </c>
      <c r="P47">
        <f>Table1[[#This Row],[lx_weighted]]-H48</f>
        <v>2505.2619403462595</v>
      </c>
      <c r="Q47">
        <f>Table1[[#This Row],[lx_splines]]-J48</f>
        <v>2498.3608419991797</v>
      </c>
    </row>
    <row r="48" spans="4:17" x14ac:dyDescent="0.3">
      <c r="D48">
        <f>graduation_data!A36</f>
        <v>54</v>
      </c>
      <c r="E48">
        <f>EXP(-graduation_data!E36)</f>
        <v>0.90733793615834502</v>
      </c>
      <c r="F48">
        <f t="shared" si="0"/>
        <v>39150.845913765159</v>
      </c>
      <c r="G48">
        <f>EXP(-graduation_data!F36)</f>
        <v>0.93550898447574082</v>
      </c>
      <c r="H48">
        <f t="shared" si="1"/>
        <v>39251.881849773345</v>
      </c>
      <c r="I48">
        <f>EXP(-graduation_data!G36)</f>
        <v>0.93485925948286497</v>
      </c>
      <c r="J48">
        <f t="shared" si="2"/>
        <v>38089.08282817142</v>
      </c>
      <c r="N48">
        <f>Table1[[#This Row],[age]]</f>
        <v>54</v>
      </c>
      <c r="O48">
        <f>Table1[[#This Row],[lx_crude]]-F49</f>
        <v>3627.7981835161045</v>
      </c>
      <c r="P48">
        <f>Table1[[#This Row],[lx_weighted]]-H49</f>
        <v>2531.3937217301209</v>
      </c>
      <c r="Q48">
        <f>Table1[[#This Row],[lx_splines]]-J49</f>
        <v>2481.1510610455807</v>
      </c>
    </row>
    <row r="49" spans="4:17" x14ac:dyDescent="0.3">
      <c r="D49">
        <f>graduation_data!A37</f>
        <v>55</v>
      </c>
      <c r="E49">
        <f>EXP(-graduation_data!E37)</f>
        <v>0.94156610660541584</v>
      </c>
      <c r="F49">
        <f t="shared" si="0"/>
        <v>35523.047730249054</v>
      </c>
      <c r="G49">
        <f>EXP(-graduation_data!F37)</f>
        <v>0.93061616222726851</v>
      </c>
      <c r="H49">
        <f t="shared" si="1"/>
        <v>36720.488128043224</v>
      </c>
      <c r="I49">
        <f>EXP(-graduation_data!G37)</f>
        <v>0.93120012476508629</v>
      </c>
      <c r="J49">
        <f t="shared" si="2"/>
        <v>35607.93176712584</v>
      </c>
      <c r="N49">
        <f>Table1[[#This Row],[age]]</f>
        <v>55</v>
      </c>
      <c r="O49">
        <f>Table1[[#This Row],[lx_crude]]-F50</f>
        <v>2075.7499841200988</v>
      </c>
      <c r="P49">
        <f>Table1[[#This Row],[lx_weighted]]-H50</f>
        <v>2547.8083912116635</v>
      </c>
      <c r="Q49">
        <f>Table1[[#This Row],[lx_splines]]-J50</f>
        <v>2449.8212629515765</v>
      </c>
    </row>
    <row r="50" spans="4:17" x14ac:dyDescent="0.3">
      <c r="D50">
        <f>graduation_data!A38</f>
        <v>56</v>
      </c>
      <c r="E50">
        <f>EXP(-graduation_data!E38)</f>
        <v>0.9445546485042976</v>
      </c>
      <c r="F50">
        <f t="shared" si="0"/>
        <v>33447.297746128956</v>
      </c>
      <c r="G50">
        <f>EXP(-graduation_data!F38)</f>
        <v>0.92529282893853393</v>
      </c>
      <c r="H50">
        <f t="shared" si="1"/>
        <v>34172.67973683156</v>
      </c>
      <c r="I50">
        <f>EXP(-graduation_data!G38)</f>
        <v>0.92747210677070968</v>
      </c>
      <c r="J50">
        <f t="shared" si="2"/>
        <v>33158.110504174263</v>
      </c>
      <c r="N50">
        <f>Table1[[#This Row],[age]]</f>
        <v>56</v>
      </c>
      <c r="O50">
        <f>Table1[[#This Row],[lx_crude]]-F51</f>
        <v>1854.4971801155334</v>
      </c>
      <c r="P50">
        <f>Table1[[#This Row],[lx_weighted]]-H51</f>
        <v>2552.9442307281715</v>
      </c>
      <c r="Q50">
        <f>Table1[[#This Row],[lx_splines]]-J51</f>
        <v>2404.8878983317591</v>
      </c>
    </row>
    <row r="51" spans="4:17" x14ac:dyDescent="0.3">
      <c r="D51">
        <f>graduation_data!A39</f>
        <v>57</v>
      </c>
      <c r="E51">
        <f>EXP(-graduation_data!E39)</f>
        <v>0.94172316228562636</v>
      </c>
      <c r="F51">
        <f t="shared" si="0"/>
        <v>31592.800566013422</v>
      </c>
      <c r="G51">
        <f>EXP(-graduation_data!F39)</f>
        <v>0.91950409195806393</v>
      </c>
      <c r="H51">
        <f t="shared" si="1"/>
        <v>31619.735506103389</v>
      </c>
      <c r="I51">
        <f>EXP(-graduation_data!G39)</f>
        <v>0.92368274032943454</v>
      </c>
      <c r="J51">
        <f t="shared" si="2"/>
        <v>30753.222605842504</v>
      </c>
      <c r="N51">
        <f>Table1[[#This Row],[age]]</f>
        <v>57</v>
      </c>
      <c r="O51">
        <f>Table1[[#This Row],[lx_crude]]-F52</f>
        <v>1841.1285115281353</v>
      </c>
      <c r="P51">
        <f>Table1[[#This Row],[lx_weighted]]-H52</f>
        <v>2545.2593216096393</v>
      </c>
      <c r="Q51">
        <f>Table1[[#This Row],[lx_splines]]-J52</f>
        <v>2347.0016753167874</v>
      </c>
    </row>
    <row r="52" spans="4:17" x14ac:dyDescent="0.3">
      <c r="D52">
        <f>graduation_data!A40</f>
        <v>58</v>
      </c>
      <c r="E52">
        <f>EXP(-graduation_data!E40)</f>
        <v>0.90636104577287657</v>
      </c>
      <c r="F52">
        <f t="shared" si="0"/>
        <v>29751.672054485287</v>
      </c>
      <c r="G52">
        <f>EXP(-graduation_data!F40)</f>
        <v>0.9132128141618191</v>
      </c>
      <c r="H52">
        <f t="shared" si="1"/>
        <v>29074.476184493749</v>
      </c>
      <c r="I52">
        <f>EXP(-graduation_data!G40)</f>
        <v>0.91984928900204233</v>
      </c>
      <c r="J52">
        <f t="shared" si="2"/>
        <v>28406.220930525717</v>
      </c>
      <c r="N52">
        <f>Table1[[#This Row],[age]]</f>
        <v>58</v>
      </c>
      <c r="O52">
        <f>Table1[[#This Row],[lx_crude]]-F53</f>
        <v>2785.9154576903347</v>
      </c>
      <c r="P52">
        <f>Table1[[#This Row],[lx_weighted]]-H53</f>
        <v>2523.2919677714235</v>
      </c>
      <c r="Q52">
        <f>Table1[[#This Row],[lx_splines]]-J53</f>
        <v>2276.7788043467044</v>
      </c>
    </row>
    <row r="53" spans="4:17" x14ac:dyDescent="0.3">
      <c r="D53">
        <f>graduation_data!A41</f>
        <v>59</v>
      </c>
      <c r="E53">
        <f>EXP(-graduation_data!E41)</f>
        <v>0.9083733031783362</v>
      </c>
      <c r="F53">
        <f t="shared" si="0"/>
        <v>26965.756596794952</v>
      </c>
      <c r="G53">
        <f>EXP(-graduation_data!F41)</f>
        <v>0.90637958855307688</v>
      </c>
      <c r="H53">
        <f t="shared" si="1"/>
        <v>26551.184216722326</v>
      </c>
      <c r="I53">
        <f>EXP(-graduation_data!G41)</f>
        <v>0.91599620226242273</v>
      </c>
      <c r="J53">
        <f t="shared" si="2"/>
        <v>26129.442126179012</v>
      </c>
      <c r="N53">
        <f>Table1[[#This Row],[age]]</f>
        <v>59</v>
      </c>
      <c r="O53">
        <f>Table1[[#This Row],[lx_crude]]-F54</f>
        <v>2470.7832042613118</v>
      </c>
      <c r="P53">
        <f>Table1[[#This Row],[lx_weighted]]-H54</f>
        <v>2485.7327907725958</v>
      </c>
      <c r="Q53">
        <f>Table1[[#This Row],[lx_splines]]-J54</f>
        <v>2194.9723713632739</v>
      </c>
    </row>
    <row r="54" spans="4:17" x14ac:dyDescent="0.3">
      <c r="D54">
        <f>graduation_data!A42</f>
        <v>60</v>
      </c>
      <c r="E54">
        <f>EXP(-graduation_data!E42)</f>
        <v>0.88293663645041098</v>
      </c>
      <c r="F54">
        <f t="shared" si="0"/>
        <v>24494.97339253364</v>
      </c>
      <c r="G54">
        <f>EXP(-graduation_data!F42)</f>
        <v>0.89896274167628865</v>
      </c>
      <c r="H54">
        <f t="shared" si="1"/>
        <v>24065.45142594973</v>
      </c>
      <c r="I54">
        <f>EXP(-graduation_data!G42)</f>
        <v>0.91214354297510347</v>
      </c>
      <c r="J54">
        <f t="shared" si="2"/>
        <v>23934.469754815738</v>
      </c>
      <c r="N54">
        <f>Table1[[#This Row],[age]]</f>
        <v>60</v>
      </c>
      <c r="O54">
        <f>Table1[[#This Row],[lx_crude]]-F55</f>
        <v>24494.97339253364</v>
      </c>
      <c r="P54">
        <f>Table1[[#This Row],[lx_weighted]]-H55</f>
        <v>24065.45142594973</v>
      </c>
      <c r="Q54">
        <f>Table1[[#This Row],[lx_splines]]-J55</f>
        <v>23934.469754815738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76BC-5C2E-4AFF-8B80-961F2E6B0D51}">
  <dimension ref="C8:G39"/>
  <sheetViews>
    <sheetView topLeftCell="A2" workbookViewId="0">
      <selection activeCell="E8" sqref="E8:H8"/>
    </sheetView>
  </sheetViews>
  <sheetFormatPr defaultRowHeight="14.4" x14ac:dyDescent="0.3"/>
  <sheetData>
    <row r="8" spans="3:7" x14ac:dyDescent="0.3">
      <c r="C8" t="s">
        <v>0</v>
      </c>
      <c r="D8" t="s">
        <v>32</v>
      </c>
      <c r="E8" t="s">
        <v>29</v>
      </c>
      <c r="F8" t="s">
        <v>30</v>
      </c>
      <c r="G8" t="s">
        <v>31</v>
      </c>
    </row>
    <row r="9" spans="3:7" x14ac:dyDescent="0.3">
      <c r="C9">
        <f>graduation_data!A2</f>
        <v>20</v>
      </c>
      <c r="D9">
        <v>10</v>
      </c>
      <c r="E9" cm="1">
        <f t="array" aca="1" ref="E9" ca="1">SUMPRODUCT(OFFSET(Mortality!$O14,0,0,'Assurance FActors'!D9,1),Mortality!$C$6^ROW(INDIRECT("1:"&amp;$D$9)))/Mortality!F14</f>
        <v>0.10790892369934654</v>
      </c>
      <c r="F9" cm="1">
        <f t="array" aca="1" ref="F9" ca="1">SUMPRODUCT(OFFSET(Mortality!$P14,0,0,Mortality!$C$7,1),Mortality!$C$6^ROW(INDIRECT("1:"&amp;$D$9)))/Mortality!H14</f>
        <v>0.10677838435930957</v>
      </c>
      <c r="G9" cm="1">
        <f t="array" aca="1" ref="G9" ca="1">SUMPRODUCT(OFFSET(Mortality!$Q14,0,0,Mortality!$C$7,1),Mortality!$C$6^ROW(INDIRECT("1:"&amp;$D$9)))/Mortality!J14</f>
        <v>0.10432585133941344</v>
      </c>
    </row>
    <row r="10" spans="3:7" x14ac:dyDescent="0.3">
      <c r="C10">
        <f>graduation_data!A3</f>
        <v>21</v>
      </c>
      <c r="D10">
        <v>10</v>
      </c>
      <c r="E10" cm="1">
        <f t="array" aca="1" ref="E10" ca="1">SUMPRODUCT(OFFSET(Mortality!$O15,0,0,'Assurance FActors'!D10,1),Mortality!$C$6^ROW(INDIRECT("1:"&amp;$D$9)))/Mortality!F15</f>
        <v>0.11226283995436463</v>
      </c>
      <c r="F10" cm="1">
        <f t="array" aca="1" ref="F10" ca="1">SUMPRODUCT(OFFSET(Mortality!$P15,0,0,Mortality!$C$7,1),Mortality!$C$6^ROW(INDIRECT("1:"&amp;$D$9)))/Mortality!H15</f>
        <v>0.10925760459549318</v>
      </c>
      <c r="G10" cm="1">
        <f t="array" aca="1" ref="G10" ca="1">SUMPRODUCT(OFFSET(Mortality!$Q15,0,0,Mortality!$C$7,1),Mortality!$C$6^ROW(INDIRECT("1:"&amp;$D$9)))/Mortality!J15</f>
        <v>0.10632728977200628</v>
      </c>
    </row>
    <row r="11" spans="3:7" x14ac:dyDescent="0.3">
      <c r="C11">
        <f>graduation_data!A4</f>
        <v>22</v>
      </c>
      <c r="D11">
        <v>10</v>
      </c>
      <c r="E11" cm="1">
        <f t="array" aca="1" ref="E11" ca="1">SUMPRODUCT(OFFSET(Mortality!$O16,0,0,'Assurance FActors'!D11,1),Mortality!$C$6^ROW(INDIRECT("1:"&amp;$D$9)))/Mortality!F16</f>
        <v>0.1075178597679437</v>
      </c>
      <c r="F11" cm="1">
        <f t="array" aca="1" ref="F11" ca="1">SUMPRODUCT(OFFSET(Mortality!$P16,0,0,Mortality!$C$7,1),Mortality!$C$6^ROW(INDIRECT("1:"&amp;$D$9)))/Mortality!H16</f>
        <v>0.11195987897211988</v>
      </c>
      <c r="G11" cm="1">
        <f t="array" aca="1" ref="G11" ca="1">SUMPRODUCT(OFFSET(Mortality!$Q16,0,0,Mortality!$C$7,1),Mortality!$C$6^ROW(INDIRECT("1:"&amp;$D$9)))/Mortality!J16</f>
        <v>0.10866187305424278</v>
      </c>
    </row>
    <row r="12" spans="3:7" x14ac:dyDescent="0.3">
      <c r="C12">
        <f>graduation_data!A5</f>
        <v>23</v>
      </c>
      <c r="D12">
        <v>10</v>
      </c>
      <c r="E12" cm="1">
        <f t="array" aca="1" ref="E12" ca="1">SUMPRODUCT(OFFSET(Mortality!$O17,0,0,'Assurance FActors'!D12,1),Mortality!$C$6^ROW(INDIRECT("1:"&amp;$D$9)))/Mortality!F17</f>
        <v>0.10690735659667633</v>
      </c>
      <c r="F12" cm="1">
        <f t="array" aca="1" ref="F12" ca="1">SUMPRODUCT(OFFSET(Mortality!$P17,0,0,Mortality!$C$7,1),Mortality!$C$6^ROW(INDIRECT("1:"&amp;$D$9)))/Mortality!H17</f>
        <v>0.11490426196540134</v>
      </c>
      <c r="G12" cm="1">
        <f t="array" aca="1" ref="G12" ca="1">SUMPRODUCT(OFFSET(Mortality!$Q17,0,0,Mortality!$C$7,1),Mortality!$C$6^ROW(INDIRECT("1:"&amp;$D$9)))/Mortality!J17</f>
        <v>0.11137772412408072</v>
      </c>
    </row>
    <row r="13" spans="3:7" x14ac:dyDescent="0.3">
      <c r="C13">
        <f>graduation_data!A6</f>
        <v>24</v>
      </c>
      <c r="D13">
        <v>10</v>
      </c>
      <c r="E13" cm="1">
        <f t="array" aca="1" ref="E13" ca="1">SUMPRODUCT(OFFSET(Mortality!$O18,0,0,'Assurance FActors'!D13,1),Mortality!$C$6^ROW(INDIRECT("1:"&amp;$D$9)))/Mortality!F18</f>
        <v>0.11521439893528088</v>
      </c>
      <c r="F13" cm="1">
        <f t="array" aca="1" ref="F13" ca="1">SUMPRODUCT(OFFSET(Mortality!$P18,0,0,Mortality!$C$7,1),Mortality!$C$6^ROW(INDIRECT("1:"&amp;$D$9)))/Mortality!H18</f>
        <v>0.11811123789436966</v>
      </c>
      <c r="G13" cm="1">
        <f t="array" aca="1" ref="G13" ca="1">SUMPRODUCT(OFFSET(Mortality!$Q18,0,0,Mortality!$C$7,1),Mortality!$C$6^ROW(INDIRECT("1:"&amp;$D$9)))/Mortality!J18</f>
        <v>0.11451434554269607</v>
      </c>
    </row>
    <row r="14" spans="3:7" x14ac:dyDescent="0.3">
      <c r="C14">
        <f>graduation_data!A7</f>
        <v>25</v>
      </c>
      <c r="D14">
        <v>10</v>
      </c>
      <c r="E14" cm="1">
        <f t="array" aca="1" ref="E14" ca="1">SUMPRODUCT(OFFSET(Mortality!$O19,0,0,'Assurance FActors'!D14,1),Mortality!$C$6^ROW(INDIRECT("1:"&amp;$D$9)))/Mortality!F19</f>
        <v>0.11876298820508233</v>
      </c>
      <c r="F14" cm="1">
        <f t="array" aca="1" ref="F14" ca="1">SUMPRODUCT(OFFSET(Mortality!$P19,0,0,Mortality!$C$7,1),Mortality!$C$6^ROW(INDIRECT("1:"&amp;$D$9)))/Mortality!H19</f>
        <v>0.12160278866708357</v>
      </c>
      <c r="G14" cm="1">
        <f t="array" aca="1" ref="G14" ca="1">SUMPRODUCT(OFFSET(Mortality!$Q19,0,0,Mortality!$C$7,1),Mortality!$C$6^ROW(INDIRECT("1:"&amp;$D$9)))/Mortality!J19</f>
        <v>0.11809668634584719</v>
      </c>
    </row>
    <row r="15" spans="3:7" x14ac:dyDescent="0.3">
      <c r="C15">
        <f>graduation_data!A8</f>
        <v>26</v>
      </c>
      <c r="D15">
        <v>10</v>
      </c>
      <c r="E15" cm="1">
        <f t="array" aca="1" ref="E15" ca="1">SUMPRODUCT(OFFSET(Mortality!$O20,0,0,'Assurance FActors'!D15,1),Mortality!$C$6^ROW(INDIRECT("1:"&amp;$D$9)))/Mortality!F20</f>
        <v>0.12342534188778354</v>
      </c>
      <c r="F15" cm="1">
        <f t="array" aca="1" ref="F15" ca="1">SUMPRODUCT(OFFSET(Mortality!$P20,0,0,Mortality!$C$7,1),Mortality!$C$6^ROW(INDIRECT("1:"&amp;$D$9)))/Mortality!H20</f>
        <v>0.12540245608932121</v>
      </c>
      <c r="G15" cm="1">
        <f t="array" aca="1" ref="G15" ca="1">SUMPRODUCT(OFFSET(Mortality!$Q20,0,0,Mortality!$C$7,1),Mortality!$C$6^ROW(INDIRECT("1:"&amp;$D$9)))/Mortality!J20</f>
        <v>0.12214550368942553</v>
      </c>
    </row>
    <row r="16" spans="3:7" x14ac:dyDescent="0.3">
      <c r="C16">
        <f>graduation_data!A9</f>
        <v>27</v>
      </c>
      <c r="D16">
        <v>10</v>
      </c>
      <c r="E16" cm="1">
        <f t="array" aca="1" ref="E16" ca="1">SUMPRODUCT(OFFSET(Mortality!$O21,0,0,'Assurance FActors'!D16,1),Mortality!$C$6^ROW(INDIRECT("1:"&amp;$D$9)))/Mortality!F21</f>
        <v>0.12710144233735893</v>
      </c>
      <c r="F16" cm="1">
        <f t="array" aca="1" ref="F16" ca="1">SUMPRODUCT(OFFSET(Mortality!$P21,0,0,Mortality!$C$7,1),Mortality!$C$6^ROW(INDIRECT("1:"&amp;$D$9)))/Mortality!H21</f>
        <v>0.12953539628563404</v>
      </c>
      <c r="G16" cm="1">
        <f t="array" aca="1" ref="G16" ca="1">SUMPRODUCT(OFFSET(Mortality!$Q21,0,0,Mortality!$C$7,1),Mortality!$C$6^ROW(INDIRECT("1:"&amp;$D$9)))/Mortality!J21</f>
        <v>0.12668473497187582</v>
      </c>
    </row>
    <row r="17" spans="3:7" x14ac:dyDescent="0.3">
      <c r="C17">
        <f>graduation_data!A10</f>
        <v>28</v>
      </c>
      <c r="D17">
        <v>10</v>
      </c>
      <c r="E17" cm="1">
        <f t="array" aca="1" ref="E17" ca="1">SUMPRODUCT(OFFSET(Mortality!$O22,0,0,'Assurance FActors'!D17,1),Mortality!$C$6^ROW(INDIRECT("1:"&amp;$D$9)))/Mortality!F22</f>
        <v>0.13568099415336757</v>
      </c>
      <c r="F17" cm="1">
        <f t="array" aca="1" ref="F17" ca="1">SUMPRODUCT(OFFSET(Mortality!$P22,0,0,Mortality!$C$7,1),Mortality!$C$6^ROW(INDIRECT("1:"&amp;$D$9)))/Mortality!H22</f>
        <v>0.13402842328092351</v>
      </c>
      <c r="G17" cm="1">
        <f t="array" aca="1" ref="G17" ca="1">SUMPRODUCT(OFFSET(Mortality!$Q22,0,0,Mortality!$C$7,1),Mortality!$C$6^ROW(INDIRECT("1:"&amp;$D$9)))/Mortality!J22</f>
        <v>0.13174255038436072</v>
      </c>
    </row>
    <row r="18" spans="3:7" x14ac:dyDescent="0.3">
      <c r="C18">
        <f>graduation_data!A11</f>
        <v>29</v>
      </c>
      <c r="D18">
        <v>10</v>
      </c>
      <c r="E18" cm="1">
        <f t="array" aca="1" ref="E18" ca="1">SUMPRODUCT(OFFSET(Mortality!$O23,0,0,'Assurance FActors'!D18,1),Mortality!$C$6^ROW(INDIRECT("1:"&amp;$D$9)))/Mortality!F23</f>
        <v>0.1396851232335809</v>
      </c>
      <c r="F18" cm="1">
        <f t="array" aca="1" ref="F18" ca="1">SUMPRODUCT(OFFSET(Mortality!$P23,0,0,Mortality!$C$7,1),Mortality!$C$6^ROW(INDIRECT("1:"&amp;$D$9)))/Mortality!H23</f>
        <v>0.13891003821894915</v>
      </c>
      <c r="G18" cm="1">
        <f t="array" aca="1" ref="G18" ca="1">SUMPRODUCT(OFFSET(Mortality!$Q23,0,0,Mortality!$C$7,1),Mortality!$C$6^ROW(INDIRECT("1:"&amp;$D$9)))/Mortality!J23</f>
        <v>0.13735190708704045</v>
      </c>
    </row>
    <row r="19" spans="3:7" x14ac:dyDescent="0.3">
      <c r="C19">
        <f>graduation_data!A12</f>
        <v>30</v>
      </c>
      <c r="D19">
        <v>10</v>
      </c>
      <c r="E19" cm="1">
        <f t="array" aca="1" ref="E19" ca="1">SUMPRODUCT(OFFSET(Mortality!$O24,0,0,'Assurance FActors'!D19,1),Mortality!$C$6^ROW(INDIRECT("1:"&amp;$D$9)))/Mortality!F24</f>
        <v>0.13686725833647853</v>
      </c>
      <c r="F19" cm="1">
        <f t="array" aca="1" ref="F19" ca="1">SUMPRODUCT(OFFSET(Mortality!$P24,0,0,Mortality!$C$7,1),Mortality!$C$6^ROW(INDIRECT("1:"&amp;$D$9)))/Mortality!H24</f>
        <v>0.14421044004930539</v>
      </c>
      <c r="G19" cm="1">
        <f t="array" aca="1" ref="G19" ca="1">SUMPRODUCT(OFFSET(Mortality!$Q24,0,0,Mortality!$C$7,1),Mortality!$C$6^ROW(INDIRECT("1:"&amp;$D$9)))/Mortality!J24</f>
        <v>0.14355351385123685</v>
      </c>
    </row>
    <row r="20" spans="3:7" x14ac:dyDescent="0.3">
      <c r="C20">
        <f>graduation_data!A13</f>
        <v>31</v>
      </c>
      <c r="D20">
        <v>10</v>
      </c>
      <c r="E20" cm="1">
        <f t="array" aca="1" ref="E20" ca="1">SUMPRODUCT(OFFSET(Mortality!$O25,0,0,'Assurance FActors'!D20,1),Mortality!$C$6^ROW(INDIRECT("1:"&amp;$D$9)))/Mortality!F25</f>
        <v>0.14177109888214451</v>
      </c>
      <c r="F20" cm="1">
        <f t="array" aca="1" ref="F20" ca="1">SUMPRODUCT(OFFSET(Mortality!$P25,0,0,Mortality!$C$7,1),Mortality!$C$6^ROW(INDIRECT("1:"&amp;$D$9)))/Mortality!H25</f>
        <v>0.14996151279564979</v>
      </c>
      <c r="G20" cm="1">
        <f t="array" aca="1" ref="G20" ca="1">SUMPRODUCT(OFFSET(Mortality!$Q25,0,0,Mortality!$C$7,1),Mortality!$C$6^ROW(INDIRECT("1:"&amp;$D$9)))/Mortality!J25</f>
        <v>0.1503914024968365</v>
      </c>
    </row>
    <row r="21" spans="3:7" x14ac:dyDescent="0.3">
      <c r="C21">
        <f>graduation_data!A14</f>
        <v>32</v>
      </c>
      <c r="D21">
        <v>10</v>
      </c>
      <c r="E21" cm="1">
        <f t="array" aca="1" ref="E21" ca="1">SUMPRODUCT(OFFSET(Mortality!$O26,0,0,'Assurance FActors'!D21,1),Mortality!$C$6^ROW(INDIRECT("1:"&amp;$D$9)))/Mortality!F26</f>
        <v>0.15430459004582708</v>
      </c>
      <c r="F21" cm="1">
        <f t="array" aca="1" ref="F21" ca="1">SUMPRODUCT(OFFSET(Mortality!$P26,0,0,Mortality!$C$7,1),Mortality!$C$6^ROW(INDIRECT("1:"&amp;$D$9)))/Mortality!H26</f>
        <v>0.15619678372794349</v>
      </c>
      <c r="G21" cm="1">
        <f t="array" aca="1" ref="G21" ca="1">SUMPRODUCT(OFFSET(Mortality!$Q26,0,0,Mortality!$C$7,1),Mortality!$C$6^ROW(INDIRECT("1:"&amp;$D$9)))/Mortality!J26</f>
        <v>0.15789602150601736</v>
      </c>
    </row>
    <row r="22" spans="3:7" x14ac:dyDescent="0.3">
      <c r="C22">
        <f>graduation_data!A15</f>
        <v>33</v>
      </c>
      <c r="D22">
        <v>10</v>
      </c>
      <c r="E22" cm="1">
        <f t="array" aca="1" ref="E22" ca="1">SUMPRODUCT(OFFSET(Mortality!$O27,0,0,'Assurance FActors'!D22,1),Mortality!$C$6^ROW(INDIRECT("1:"&amp;$D$9)))/Mortality!F27</f>
        <v>0.16468866282640354</v>
      </c>
      <c r="F22" cm="1">
        <f t="array" aca="1" ref="F22" ca="1">SUMPRODUCT(OFFSET(Mortality!$P27,0,0,Mortality!$C$7,1),Mortality!$C$6^ROW(INDIRECT("1:"&amp;$D$9)))/Mortality!H27</f>
        <v>0.16295134590764232</v>
      </c>
      <c r="G22" cm="1">
        <f t="array" aca="1" ref="G22" ca="1">SUMPRODUCT(OFFSET(Mortality!$Q27,0,0,Mortality!$C$7,1),Mortality!$C$6^ROW(INDIRECT("1:"&amp;$D$9)))/Mortality!J27</f>
        <v>0.16607615955825097</v>
      </c>
    </row>
    <row r="23" spans="3:7" x14ac:dyDescent="0.3">
      <c r="C23">
        <f>graduation_data!A16</f>
        <v>34</v>
      </c>
      <c r="D23">
        <v>10</v>
      </c>
      <c r="E23" cm="1">
        <f t="array" aca="1" ref="E23" ca="1">SUMPRODUCT(OFFSET(Mortality!$O28,0,0,'Assurance FActors'!D23,1),Mortality!$C$6^ROW(INDIRECT("1:"&amp;$D$9)))/Mortality!F28</f>
        <v>0.16917061268325742</v>
      </c>
      <c r="F23" cm="1">
        <f t="array" aca="1" ref="F23" ca="1">SUMPRODUCT(OFFSET(Mortality!$P28,0,0,Mortality!$C$7,1),Mortality!$C$6^ROW(INDIRECT("1:"&amp;$D$9)))/Mortality!H28</f>
        <v>0.17026173767115768</v>
      </c>
      <c r="G23" cm="1">
        <f t="array" aca="1" ref="G23" ca="1">SUMPRODUCT(OFFSET(Mortality!$Q28,0,0,Mortality!$C$7,1),Mortality!$C$6^ROW(INDIRECT("1:"&amp;$D$9)))/Mortality!J28</f>
        <v>0.1749257030292376</v>
      </c>
    </row>
    <row r="24" spans="3:7" x14ac:dyDescent="0.3">
      <c r="C24">
        <f>graduation_data!A17</f>
        <v>35</v>
      </c>
      <c r="D24">
        <v>10</v>
      </c>
      <c r="E24" cm="1">
        <f t="array" aca="1" ref="E24" ca="1">SUMPRODUCT(OFFSET(Mortality!$O29,0,0,'Assurance FActors'!D24,1),Mortality!$C$6^ROW(INDIRECT("1:"&amp;$D$9)))/Mortality!F29</f>
        <v>0.18703387100602648</v>
      </c>
      <c r="F24" cm="1">
        <f t="array" aca="1" ref="F24" ca="1">SUMPRODUCT(OFFSET(Mortality!$P29,0,0,Mortality!$C$7,1),Mortality!$C$6^ROW(INDIRECT("1:"&amp;$D$9)))/Mortality!H29</f>
        <v>0.17816577068628653</v>
      </c>
      <c r="G24" cm="1">
        <f t="array" aca="1" ref="G24" ca="1">SUMPRODUCT(OFFSET(Mortality!$Q29,0,0,Mortality!$C$7,1),Mortality!$C$6^ROW(INDIRECT("1:"&amp;$D$9)))/Mortality!J29</f>
        <v>0.18442932184759131</v>
      </c>
    </row>
    <row r="25" spans="3:7" x14ac:dyDescent="0.3">
      <c r="C25">
        <f>graduation_data!A18</f>
        <v>36</v>
      </c>
      <c r="D25">
        <v>10</v>
      </c>
      <c r="E25" cm="1">
        <f t="array" aca="1" ref="E25" ca="1">SUMPRODUCT(OFFSET(Mortality!$O30,0,0,'Assurance FActors'!D25,1),Mortality!$C$6^ROW(INDIRECT("1:"&amp;$D$9)))/Mortality!F30</f>
        <v>0.20534232847120432</v>
      </c>
      <c r="F25" cm="1">
        <f t="array" aca="1" ref="F25" ca="1">SUMPRODUCT(OFFSET(Mortality!$P30,0,0,Mortality!$C$7,1),Mortality!$C$6^ROW(INDIRECT("1:"&amp;$D$9)))/Mortality!H30</f>
        <v>0.18670229729286589</v>
      </c>
      <c r="G25" cm="1">
        <f t="array" aca="1" ref="G25" ca="1">SUMPRODUCT(OFFSET(Mortality!$Q30,0,0,Mortality!$C$7,1),Mortality!$C$6^ROW(INDIRECT("1:"&amp;$D$9)))/Mortality!J30</f>
        <v>0.19456206390386138</v>
      </c>
    </row>
    <row r="26" spans="3:7" x14ac:dyDescent="0.3">
      <c r="C26">
        <f>graduation_data!A19</f>
        <v>37</v>
      </c>
      <c r="D26">
        <v>10</v>
      </c>
      <c r="E26" cm="1">
        <f t="array" aca="1" ref="E26" ca="1">SUMPRODUCT(OFFSET(Mortality!$O31,0,0,'Assurance FActors'!D26,1),Mortality!$C$6^ROW(INDIRECT("1:"&amp;$D$9)))/Mortality!F31</f>
        <v>0.20978121695263599</v>
      </c>
      <c r="F26" cm="1">
        <f t="array" aca="1" ref="F26" ca="1">SUMPRODUCT(OFFSET(Mortality!$P31,0,0,Mortality!$C$7,1),Mortality!$C$6^ROW(INDIRECT("1:"&amp;$D$9)))/Mortality!H31</f>
        <v>0.19591090697128563</v>
      </c>
      <c r="G26" cm="1">
        <f t="array" aca="1" ref="G26" ca="1">SUMPRODUCT(OFFSET(Mortality!$Q31,0,0,Mortality!$C$7,1),Mortality!$C$6^ROW(INDIRECT("1:"&amp;$D$9)))/Mortality!J31</f>
        <v>0.20530070152023011</v>
      </c>
    </row>
    <row r="27" spans="3:7" x14ac:dyDescent="0.3">
      <c r="C27">
        <f>graduation_data!A20</f>
        <v>38</v>
      </c>
      <c r="D27">
        <v>10</v>
      </c>
      <c r="E27" cm="1">
        <f t="array" aca="1" ref="E27" ca="1">SUMPRODUCT(OFFSET(Mortality!$O32,0,0,'Assurance FActors'!D27,1),Mortality!$C$6^ROW(INDIRECT("1:"&amp;$D$9)))/Mortality!F32</f>
        <v>0.21546295219629774</v>
      </c>
      <c r="F27" cm="1">
        <f t="array" aca="1" ref="F27" ca="1">SUMPRODUCT(OFFSET(Mortality!$P32,0,0,Mortality!$C$7,1),Mortality!$C$6^ROW(INDIRECT("1:"&amp;$D$9)))/Mortality!H32</f>
        <v>0.20583154103732876</v>
      </c>
      <c r="G27" cm="1">
        <f t="array" aca="1" ref="G27" ca="1">SUMPRODUCT(OFFSET(Mortality!$Q32,0,0,Mortality!$C$7,1),Mortality!$C$6^ROW(INDIRECT("1:"&amp;$D$9)))/Mortality!J32</f>
        <v>0.21663029118699909</v>
      </c>
    </row>
    <row r="28" spans="3:7" x14ac:dyDescent="0.3">
      <c r="C28">
        <f>graduation_data!A21</f>
        <v>39</v>
      </c>
      <c r="D28">
        <v>10</v>
      </c>
      <c r="E28" cm="1">
        <f t="array" aca="1" ref="E28" ca="1">SUMPRODUCT(OFFSET(Mortality!$O33,0,0,'Assurance FActors'!D28,1),Mortality!$C$6^ROW(INDIRECT("1:"&amp;$D$9)))/Mortality!F33</f>
        <v>0.23443894986428535</v>
      </c>
      <c r="F28" cm="1">
        <f t="array" aca="1" ref="F28" ca="1">SUMPRODUCT(OFFSET(Mortality!$P33,0,0,Mortality!$C$7,1),Mortality!$C$6^ROW(INDIRECT("1:"&amp;$D$9)))/Mortality!H33</f>
        <v>0.21650401412756662</v>
      </c>
      <c r="G28" cm="1">
        <f t="array" aca="1" ref="G28" ca="1">SUMPRODUCT(OFFSET(Mortality!$Q33,0,0,Mortality!$C$7,1),Mortality!$C$6^ROW(INDIRECT("1:"&amp;$D$9)))/Mortality!J33</f>
        <v>0.22854025943523273</v>
      </c>
    </row>
    <row r="29" spans="3:7" x14ac:dyDescent="0.3">
      <c r="C29">
        <f>graduation_data!A22</f>
        <v>40</v>
      </c>
      <c r="D29">
        <v>10</v>
      </c>
      <c r="E29" cm="1">
        <f t="array" aca="1" ref="E29" ca="1">SUMPRODUCT(OFFSET(Mortality!$O34,0,0,'Assurance FActors'!D29,1),Mortality!$C$6^ROW(INDIRECT("1:"&amp;$D$9)))/Mortality!F34</f>
        <v>0.24114161499622372</v>
      </c>
      <c r="F29" cm="1">
        <f t="array" aca="1" ref="F29" ca="1">SUMPRODUCT(OFFSET(Mortality!$P34,0,0,Mortality!$C$7,1),Mortality!$C$6^ROW(INDIRECT("1:"&amp;$D$9)))/Mortality!H34</f>
        <v>0.22796743083046178</v>
      </c>
      <c r="G29" cm="1">
        <f t="array" aca="1" ref="G29" ca="1">SUMPRODUCT(OFFSET(Mortality!$Q34,0,0,Mortality!$C$7,1),Mortality!$C$6^ROW(INDIRECT("1:"&amp;$D$9)))/Mortality!J34</f>
        <v>0.24101860284061688</v>
      </c>
    </row>
    <row r="30" spans="3:7" x14ac:dyDescent="0.3">
      <c r="C30">
        <f>graduation_data!A23</f>
        <v>41</v>
      </c>
      <c r="D30">
        <v>10</v>
      </c>
      <c r="E30" cm="1">
        <f t="array" aca="1" ref="E30" ca="1">SUMPRODUCT(OFFSET(Mortality!$O35,0,0,'Assurance FActors'!D30,1),Mortality!$C$6^ROW(INDIRECT("1:"&amp;$D$9)))/Mortality!F35</f>
        <v>0.23556503284949223</v>
      </c>
      <c r="F30" cm="1">
        <f t="array" aca="1" ref="F30" ca="1">SUMPRODUCT(OFFSET(Mortality!$P35,0,0,Mortality!$C$7,1),Mortality!$C$6^ROW(INDIRECT("1:"&amp;$D$9)))/Mortality!H35</f>
        <v>0.24025948607820793</v>
      </c>
      <c r="G30" cm="1">
        <f t="array" aca="1" ref="G30" ca="1">SUMPRODUCT(OFFSET(Mortality!$Q35,0,0,Mortality!$C$7,1),Mortality!$C$6^ROW(INDIRECT("1:"&amp;$D$9)))/Mortality!J35</f>
        <v>0.25405515787679639</v>
      </c>
    </row>
    <row r="31" spans="3:7" x14ac:dyDescent="0.3">
      <c r="C31">
        <f>graduation_data!A24</f>
        <v>42</v>
      </c>
      <c r="D31">
        <v>10</v>
      </c>
      <c r="E31" cm="1">
        <f t="array" aca="1" ref="E31" ca="1">SUMPRODUCT(OFFSET(Mortality!$O36,0,0,'Assurance FActors'!D31,1),Mortality!$C$6^ROW(INDIRECT("1:"&amp;$D$9)))/Mortality!F36</f>
        <v>0.25392298392313545</v>
      </c>
      <c r="F31" cm="1">
        <f t="array" aca="1" ref="F31" ca="1">SUMPRODUCT(OFFSET(Mortality!$P36,0,0,Mortality!$C$7,1),Mortality!$C$6^ROW(INDIRECT("1:"&amp;$D$9)))/Mortality!H36</f>
        <v>0.25341563881948831</v>
      </c>
      <c r="G31" cm="1">
        <f t="array" aca="1" ref="G31" ca="1">SUMPRODUCT(OFFSET(Mortality!$Q36,0,0,Mortality!$C$7,1),Mortality!$C$6^ROW(INDIRECT("1:"&amp;$D$9)))/Mortality!J36</f>
        <v>0.26763612462615805</v>
      </c>
    </row>
    <row r="32" spans="3:7" x14ac:dyDescent="0.3">
      <c r="C32">
        <f>graduation_data!A25</f>
        <v>43</v>
      </c>
      <c r="D32">
        <v>10</v>
      </c>
      <c r="E32" cm="1">
        <f t="array" aca="1" ref="E32" ca="1">SUMPRODUCT(OFFSET(Mortality!$O37,0,0,'Assurance FActors'!D32,1),Mortality!$C$6^ROW(INDIRECT("1:"&amp;$D$9)))/Mortality!F37</f>
        <v>0.2589639759260785</v>
      </c>
      <c r="F32" cm="1">
        <f t="array" aca="1" ref="F32" ca="1">SUMPRODUCT(OFFSET(Mortality!$P37,0,0,Mortality!$C$7,1),Mortality!$C$6^ROW(INDIRECT("1:"&amp;$D$9)))/Mortality!H37</f>
        <v>0.26746815025401227</v>
      </c>
      <c r="G32" cm="1">
        <f t="array" aca="1" ref="G32" ca="1">SUMPRODUCT(OFFSET(Mortality!$Q37,0,0,Mortality!$C$7,1),Mortality!$C$6^ROW(INDIRECT("1:"&amp;$D$9)))/Mortality!J37</f>
        <v>0.28173111472878487</v>
      </c>
    </row>
    <row r="33" spans="3:7" x14ac:dyDescent="0.3">
      <c r="C33">
        <f>graduation_data!A26</f>
        <v>44</v>
      </c>
      <c r="D33">
        <v>10</v>
      </c>
      <c r="E33" cm="1">
        <f t="array" aca="1" ref="E33" ca="1">SUMPRODUCT(OFFSET(Mortality!$O38,0,0,'Assurance FActors'!D33,1),Mortality!$C$6^ROW(INDIRECT("1:"&amp;$D$9)))/Mortality!F38</f>
        <v>0.28538284126667907</v>
      </c>
      <c r="F33" cm="1">
        <f t="array" aca="1" ref="F33" ca="1">SUMPRODUCT(OFFSET(Mortality!$P38,0,0,Mortality!$C$7,1),Mortality!$C$6^ROW(INDIRECT("1:"&amp;$D$9)))/Mortality!H38</f>
        <v>0.28244498076889257</v>
      </c>
      <c r="G33" cm="1">
        <f t="array" aca="1" ref="G33" ca="1">SUMPRODUCT(OFFSET(Mortality!$Q38,0,0,Mortality!$C$7,1),Mortality!$C$6^ROW(INDIRECT("1:"&amp;$D$9)))/Mortality!J38</f>
        <v>0.29629251316697863</v>
      </c>
    </row>
    <row r="34" spans="3:7" x14ac:dyDescent="0.3">
      <c r="C34">
        <f>graduation_data!A27</f>
        <v>45</v>
      </c>
      <c r="D34">
        <v>10</v>
      </c>
      <c r="E34" cm="1">
        <f t="array" aca="1" ref="E34" ca="1">SUMPRODUCT(OFFSET(Mortality!$O39,0,0,'Assurance FActors'!D34,1),Mortality!$C$6^ROW(INDIRECT("1:"&amp;$D$9)))/Mortality!F39</f>
        <v>0.3123102720901752</v>
      </c>
      <c r="F34" cm="1">
        <f t="array" aca="1" ref="F34" ca="1">SUMPRODUCT(OFFSET(Mortality!$P39,0,0,Mortality!$C$7,1),Mortality!$C$6^ROW(INDIRECT("1:"&amp;$D$9)))/Mortality!H39</f>
        <v>0.29836854394491508</v>
      </c>
      <c r="G34" cm="1">
        <f t="array" aca="1" ref="G34" ca="1">SUMPRODUCT(OFFSET(Mortality!$Q39,0,0,Mortality!$C$7,1),Mortality!$C$6^ROW(INDIRECT("1:"&amp;$D$9)))/Mortality!J39</f>
        <v>0.31125674174196366</v>
      </c>
    </row>
    <row r="35" spans="3:7" x14ac:dyDescent="0.3">
      <c r="C35">
        <f>graduation_data!A28</f>
        <v>46</v>
      </c>
      <c r="D35">
        <v>10</v>
      </c>
      <c r="E35" cm="1">
        <f t="array" aca="1" ref="E35" ca="1">SUMPRODUCT(OFFSET(Mortality!$O40,0,0,'Assurance FActors'!D35,1),Mortality!$C$6^ROW(INDIRECT("1:"&amp;$D$9)))/Mortality!F40</f>
        <v>0.30799361994343127</v>
      </c>
      <c r="F35" cm="1">
        <f t="array" aca="1" ref="F35" ca="1">SUMPRODUCT(OFFSET(Mortality!$P40,0,0,Mortality!$C$7,1),Mortality!$C$6^ROW(INDIRECT("1:"&amp;$D$9)))/Mortality!H40</f>
        <v>0.31525432188357483</v>
      </c>
      <c r="G35" cm="1">
        <f t="array" aca="1" ref="G35" ca="1">SUMPRODUCT(OFFSET(Mortality!$Q40,0,0,Mortality!$C$7,1),Mortality!$C$6^ROW(INDIRECT("1:"&amp;$D$9)))/Mortality!J40</f>
        <v>0.32655346434756788</v>
      </c>
    </row>
    <row r="36" spans="3:7" x14ac:dyDescent="0.3">
      <c r="C36">
        <f>graduation_data!A29</f>
        <v>47</v>
      </c>
      <c r="D36">
        <v>10</v>
      </c>
      <c r="E36" cm="1">
        <f t="array" aca="1" ref="E36" ca="1">SUMPRODUCT(OFFSET(Mortality!$O41,0,0,'Assurance FActors'!D36,1),Mortality!$C$6^ROW(INDIRECT("1:"&amp;$D$9)))/Mortality!F41</f>
        <v>0.33096032541654224</v>
      </c>
      <c r="F36" cm="1">
        <f t="array" aca="1" ref="F36" ca="1">SUMPRODUCT(OFFSET(Mortality!$P41,0,0,Mortality!$C$7,1),Mortality!$C$6^ROW(INDIRECT("1:"&amp;$D$9)))/Mortality!H41</f>
        <v>0.33310935392525304</v>
      </c>
      <c r="G36" cm="1">
        <f t="array" aca="1" ref="G36" ca="1">SUMPRODUCT(OFFSET(Mortality!$Q41,0,0,Mortality!$C$7,1),Mortality!$C$6^ROW(INDIRECT("1:"&amp;$D$9)))/Mortality!J41</f>
        <v>0.34211093777154494</v>
      </c>
    </row>
    <row r="37" spans="3:7" x14ac:dyDescent="0.3">
      <c r="C37">
        <f>graduation_data!A30</f>
        <v>48</v>
      </c>
      <c r="D37">
        <v>10</v>
      </c>
      <c r="E37" cm="1">
        <f t="array" aca="1" ref="E37" ca="1">SUMPRODUCT(OFFSET(Mortality!$O42,0,0,'Assurance FActors'!D37,1),Mortality!$C$6^ROW(INDIRECT("1:"&amp;$D$9)))/Mortality!F42</f>
        <v>0.33949386356671046</v>
      </c>
      <c r="F37" cm="1">
        <f t="array" aca="1" ref="F37" ca="1">SUMPRODUCT(OFFSET(Mortality!$P42,0,0,Mortality!$C$7,1),Mortality!$C$6^ROW(INDIRECT("1:"&amp;$D$9)))/Mortality!H42</f>
        <v>0.35193062083172999</v>
      </c>
      <c r="G37" cm="1">
        <f t="array" aca="1" ref="G37" ca="1">SUMPRODUCT(OFFSET(Mortality!$Q42,0,0,Mortality!$C$7,1),Mortality!$C$6^ROW(INDIRECT("1:"&amp;$D$9)))/Mortality!J42</f>
        <v>0.35784759731663202</v>
      </c>
    </row>
    <row r="38" spans="3:7" x14ac:dyDescent="0.3">
      <c r="C38">
        <f>graduation_data!A31</f>
        <v>49</v>
      </c>
      <c r="D38">
        <v>10</v>
      </c>
      <c r="E38" cm="1">
        <f t="array" aca="1" ref="E38" ca="1">SUMPRODUCT(OFFSET(Mortality!$O43,0,0,'Assurance FActors'!D38,1),Mortality!$C$6^ROW(INDIRECT("1:"&amp;$D$9)))/Mortality!F43</f>
        <v>0.35434580868148191</v>
      </c>
      <c r="F38" cm="1">
        <f t="array" aca="1" ref="F38" ca="1">SUMPRODUCT(OFFSET(Mortality!$P43,0,0,Mortality!$C$7,1),Mortality!$C$6^ROW(INDIRECT("1:"&amp;$D$9)))/Mortality!H43</f>
        <v>0.37170335885895822</v>
      </c>
      <c r="G38" cm="1">
        <f t="array" aca="1" ref="G38" ca="1">SUMPRODUCT(OFFSET(Mortality!$Q43,0,0,Mortality!$C$7,1),Mortality!$C$6^ROW(INDIRECT("1:"&amp;$D$9)))/Mortality!J43</f>
        <v>0.37367669609649395</v>
      </c>
    </row>
    <row r="39" spans="3:7" x14ac:dyDescent="0.3">
      <c r="C39">
        <f>graduation_data!A32</f>
        <v>50</v>
      </c>
      <c r="D39">
        <v>10</v>
      </c>
      <c r="E39" cm="1">
        <f t="array" aca="1" ref="E39" ca="1">SUMPRODUCT(OFFSET(Mortality!$O44,0,0,'Assurance FActors'!D39,1),Mortality!$C$6^ROW(INDIRECT("1:"&amp;$D$9)))/Mortality!F44</f>
        <v>0.38070166579423242</v>
      </c>
      <c r="F39" cm="1">
        <f t="array" aca="1" ref="F39" ca="1">SUMPRODUCT(OFFSET(Mortality!$P44,0,0,Mortality!$C$7,1),Mortality!$C$6^ROW(INDIRECT("1:"&amp;$D$9)))/Mortality!H44</f>
        <v>0.39239935287417327</v>
      </c>
      <c r="G39" cm="1">
        <f t="array" aca="1" ref="G39" ca="1">SUMPRODUCT(OFFSET(Mortality!$Q44,0,0,Mortality!$C$7,1),Mortality!$C$6^ROW(INDIRECT("1:"&amp;$D$9)))/Mortality!J44</f>
        <v>0.38950636043809322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016A-B9F9-416D-8F2B-899FD81F186D}">
  <dimension ref="D8:H39"/>
  <sheetViews>
    <sheetView workbookViewId="0">
      <selection activeCell="H9" sqref="H9:H39"/>
    </sheetView>
  </sheetViews>
  <sheetFormatPr defaultRowHeight="14.4" x14ac:dyDescent="0.3"/>
  <cols>
    <col min="7" max="7" width="18.21875" bestFit="1" customWidth="1"/>
    <col min="8" max="8" width="16.109375" bestFit="1" customWidth="1"/>
  </cols>
  <sheetData>
    <row r="8" spans="4:8" x14ac:dyDescent="0.3">
      <c r="D8" t="s">
        <v>0</v>
      </c>
      <c r="E8" t="s">
        <v>32</v>
      </c>
      <c r="F8" t="s">
        <v>29</v>
      </c>
      <c r="G8" t="s">
        <v>30</v>
      </c>
      <c r="H8" t="s">
        <v>31</v>
      </c>
    </row>
    <row r="9" spans="4:8" x14ac:dyDescent="0.3">
      <c r="D9">
        <v>20</v>
      </c>
      <c r="E9">
        <v>10</v>
      </c>
      <c r="F9" cm="1">
        <f t="array" aca="1" ref="F9" ca="1">SUMPRODUCT(OFFSET(Mortality!$F14,0,0,'Annuity factors'!$E$9,1),Mortality!$C$6^(ROW(INDIRECT("1:"&amp;$E$9))-1))/Mortality!F14</f>
        <v>7.6580384498194851</v>
      </c>
      <c r="G9" cm="1">
        <f t="array" aca="1" ref="G9" ca="1">SUMPRODUCT(OFFSET(Mortality!$H14,0,0,Mortality!$C$7,1),Mortality!$C$6^(ROW(INDIRECT("1:"&amp;$E$9))-1))/Mortality!H14</f>
        <v>7.6547866324606977</v>
      </c>
      <c r="H9" cm="1">
        <f t="array" aca="1" ref="H9" ca="1">SUMPRODUCT(OFFSET(Mortality!$J14,0,0,Mortality!$C$7,1),Mortality!$C$6^(ROW(INDIRECT("1:"&amp;$E$9))-1))/Mortality!J14</f>
        <v>7.6624117803698635</v>
      </c>
    </row>
    <row r="10" spans="4:8" x14ac:dyDescent="0.3">
      <c r="D10">
        <v>21</v>
      </c>
      <c r="E10">
        <v>10</v>
      </c>
      <c r="F10" cm="1">
        <f t="array" aca="1" ref="F10" ca="1">SUMPRODUCT(OFFSET(Mortality!$F15,0,0,'Annuity factors'!$E$9,1),Mortality!$C$6^(ROW(INDIRECT("1:"&amp;$E$9))-1))/Mortality!F15</f>
        <v>7.666420722383088</v>
      </c>
      <c r="G10" cm="1">
        <f t="array" aca="1" ref="G10" ca="1">SUMPRODUCT(OFFSET(Mortality!$H15,0,0,Mortality!$C$7,1),Mortality!$C$6^(ROW(INDIRECT("1:"&amp;$E$9))-1))/Mortality!H15</f>
        <v>7.6451711333553334</v>
      </c>
      <c r="H10" cm="1">
        <f t="array" aca="1" ref="H10" ca="1">SUMPRODUCT(OFFSET(Mortality!$J15,0,0,Mortality!$C$7,1),Mortality!$C$6^(ROW(INDIRECT("1:"&amp;$E$9))-1))/Mortality!J15</f>
        <v>7.6560465949788385</v>
      </c>
    </row>
    <row r="11" spans="4:8" x14ac:dyDescent="0.3">
      <c r="D11">
        <v>22</v>
      </c>
      <c r="E11">
        <v>10</v>
      </c>
      <c r="F11" cm="1">
        <f t="array" aca="1" ref="F11" ca="1">SUMPRODUCT(OFFSET(Mortality!$F16,0,0,'Annuity factors'!$E$9,1),Mortality!$C$6^(ROW(INDIRECT("1:"&amp;$E$9))-1))/Mortality!F16</f>
        <v>7.6929333713294472</v>
      </c>
      <c r="G11" cm="1">
        <f t="array" aca="1" ref="G11" ca="1">SUMPRODUCT(OFFSET(Mortality!$H16,0,0,Mortality!$C$7,1),Mortality!$C$6^(ROW(INDIRECT("1:"&amp;$E$9))-1))/Mortality!H16</f>
        <v>7.6346748206666541</v>
      </c>
      <c r="H11" cm="1">
        <f t="array" aca="1" ref="H11" ca="1">SUMPRODUCT(OFFSET(Mortality!$J16,0,0,Mortality!$C$7,1),Mortality!$C$6^(ROW(INDIRECT("1:"&amp;$E$9))-1))/Mortality!J16</f>
        <v>7.6482304699250676</v>
      </c>
    </row>
    <row r="12" spans="4:8" x14ac:dyDescent="0.3">
      <c r="D12">
        <v>23</v>
      </c>
      <c r="E12">
        <v>10</v>
      </c>
      <c r="F12" cm="1">
        <f t="array" aca="1" ref="F12" ca="1">SUMPRODUCT(OFFSET(Mortality!$F17,0,0,'Annuity factors'!$E$9,1),Mortality!$C$6^(ROW(INDIRECT("1:"&amp;$E$9))-1))/Mortality!F17</f>
        <v>7.6814998822325764</v>
      </c>
      <c r="G12" cm="1">
        <f t="array" aca="1" ref="G12" ca="1">SUMPRODUCT(OFFSET(Mortality!$H17,0,0,Mortality!$C$7,1),Mortality!$C$6^(ROW(INDIRECT("1:"&amp;$E$9))-1))/Mortality!H17</f>
        <v>7.6232193364579022</v>
      </c>
      <c r="H12" cm="1">
        <f t="array" aca="1" ref="H12" ca="1">SUMPRODUCT(OFFSET(Mortality!$J17,0,0,Mortality!$C$7,1),Mortality!$C$6^(ROW(INDIRECT("1:"&amp;$E$9))-1))/Mortality!J17</f>
        <v>7.6386853271074298</v>
      </c>
    </row>
    <row r="13" spans="4:8" x14ac:dyDescent="0.3">
      <c r="D13">
        <v>24</v>
      </c>
      <c r="E13">
        <v>10</v>
      </c>
      <c r="F13" cm="1">
        <f t="array" aca="1" ref="F13" ca="1">SUMPRODUCT(OFFSET(Mortality!$F18,0,0,'Annuity factors'!$E$9,1),Mortality!$C$6^(ROW(INDIRECT("1:"&amp;$E$9))-1))/Mortality!F18</f>
        <v>7.6402048679194303</v>
      </c>
      <c r="G13" cm="1">
        <f t="array" aca="1" ref="G13" ca="1">SUMPRODUCT(OFFSET(Mortality!$H18,0,0,Mortality!$C$7,1),Mortality!$C$6^(ROW(INDIRECT("1:"&amp;$E$9))-1))/Mortality!H18</f>
        <v>7.6107198060115921</v>
      </c>
      <c r="H13" cm="1">
        <f t="array" aca="1" ref="H13" ca="1">SUMPRODUCT(OFFSET(Mortality!$J18,0,0,Mortality!$C$7,1),Mortality!$C$6^(ROW(INDIRECT("1:"&amp;$E$9))-1))/Mortality!J18</f>
        <v>7.6272735761023647</v>
      </c>
    </row>
    <row r="14" spans="4:8" x14ac:dyDescent="0.3">
      <c r="D14">
        <v>25</v>
      </c>
      <c r="E14">
        <v>10</v>
      </c>
      <c r="F14" cm="1">
        <f t="array" aca="1" ref="F14" ca="1">SUMPRODUCT(OFFSET(Mortality!$F19,0,0,'Annuity factors'!$E$9,1),Mortality!$C$6^(ROW(INDIRECT("1:"&amp;$E$9))-1))/Mortality!F19</f>
        <v>7.5748241128867413</v>
      </c>
      <c r="G14" cm="1">
        <f t="array" aca="1" ref="G14" ca="1">SUMPRODUCT(OFFSET(Mortality!$H19,0,0,Mortality!$C$7,1),Mortality!$C$6^(ROW(INDIRECT("1:"&amp;$E$9))-1))/Mortality!H19</f>
        <v>7.5970843852774168</v>
      </c>
      <c r="H14" cm="1">
        <f t="array" aca="1" ref="H14" ca="1">SUMPRODUCT(OFFSET(Mortality!$J19,0,0,Mortality!$C$7,1),Mortality!$C$6^(ROW(INDIRECT("1:"&amp;$E$9))-1))/Mortality!J19</f>
        <v>7.6140041304698443</v>
      </c>
    </row>
    <row r="15" spans="4:8" x14ac:dyDescent="0.3">
      <c r="D15">
        <v>26</v>
      </c>
      <c r="E15">
        <v>10</v>
      </c>
      <c r="F15" cm="1">
        <f t="array" aca="1" ref="F15" ca="1">SUMPRODUCT(OFFSET(Mortality!$F20,0,0,'Annuity factors'!$E$9,1),Mortality!$C$6^(ROW(INDIRECT("1:"&amp;$E$9))-1))/Mortality!F20</f>
        <v>7.5665620083036478</v>
      </c>
      <c r="G15" cm="1">
        <f t="array" aca="1" ref="G15" ca="1">SUMPRODUCT(OFFSET(Mortality!$H20,0,0,Mortality!$C$7,1),Mortality!$C$6^(ROW(INDIRECT("1:"&amp;$E$9))-1))/Mortality!H20</f>
        <v>7.5822137951968829</v>
      </c>
      <c r="H15" cm="1">
        <f t="array" aca="1" ref="H15" ca="1">SUMPRODUCT(OFFSET(Mortality!$J20,0,0,Mortality!$C$7,1),Mortality!$C$6^(ROW(INDIRECT("1:"&amp;$E$9))-1))/Mortality!J20</f>
        <v>7.5989392770278208</v>
      </c>
    </row>
    <row r="16" spans="4:8" x14ac:dyDescent="0.3">
      <c r="D16">
        <v>27</v>
      </c>
      <c r="E16">
        <v>10</v>
      </c>
      <c r="F16" cm="1">
        <f t="array" aca="1" ref="F16" ca="1">SUMPRODUCT(OFFSET(Mortality!$F21,0,0,'Annuity factors'!$E$9,1),Mortality!$C$6^(ROW(INDIRECT("1:"&amp;$E$9))-1))/Mortality!F21</f>
        <v>7.5388272337015287</v>
      </c>
      <c r="G16" cm="1">
        <f t="array" aca="1" ref="G16" ca="1">SUMPRODUCT(OFFSET(Mortality!$H21,0,0,Mortality!$C$7,1),Mortality!$C$6^(ROW(INDIRECT("1:"&amp;$E$9))-1))/Mortality!H21</f>
        <v>7.5660008468454558</v>
      </c>
      <c r="H16" cm="1">
        <f t="array" aca="1" ref="H16" ca="1">SUMPRODUCT(OFFSET(Mortality!$J21,0,0,Mortality!$C$7,1),Mortality!$C$6^(ROW(INDIRECT("1:"&amp;$E$9))-1))/Mortality!J21</f>
        <v>7.582072682283413</v>
      </c>
    </row>
    <row r="17" spans="4:8" x14ac:dyDescent="0.3">
      <c r="D17">
        <v>28</v>
      </c>
      <c r="E17">
        <v>10</v>
      </c>
      <c r="F17" cm="1">
        <f t="array" aca="1" ref="F17" ca="1">SUMPRODUCT(OFFSET(Mortality!$F22,0,0,'Annuity factors'!$E$9,1),Mortality!$C$6^(ROW(INDIRECT("1:"&amp;$E$9))-1))/Mortality!F22</f>
        <v>7.5229414400607455</v>
      </c>
      <c r="G17" cm="1">
        <f t="array" aca="1" ref="G17" ca="1">SUMPRODUCT(OFFSET(Mortality!$H22,0,0,Mortality!$C$7,1),Mortality!$C$6^(ROW(INDIRECT("1:"&amp;$E$9))-1))/Mortality!H22</f>
        <v>7.5483299625415992</v>
      </c>
      <c r="H17" cm="1">
        <f t="array" aca="1" ref="H17" ca="1">SUMPRODUCT(OFFSET(Mortality!$J22,0,0,Mortality!$C$7,1),Mortality!$C$6^(ROW(INDIRECT("1:"&amp;$E$9))-1))/Mortality!J22</f>
        <v>7.5633091935859698</v>
      </c>
    </row>
    <row r="18" spans="4:8" x14ac:dyDescent="0.3">
      <c r="D18">
        <v>29</v>
      </c>
      <c r="E18">
        <v>10</v>
      </c>
      <c r="F18" cm="1">
        <f t="array" aca="1" ref="F18" ca="1">SUMPRODUCT(OFFSET(Mortality!$F23,0,0,'Annuity factors'!$E$9,1),Mortality!$C$6^(ROW(INDIRECT("1:"&amp;$E$9))-1))/Mortality!F23</f>
        <v>7.4925679299065466</v>
      </c>
      <c r="G18" cm="1">
        <f t="array" aca="1" ref="G18" ca="1">SUMPRODUCT(OFFSET(Mortality!$H23,0,0,Mortality!$C$7,1),Mortality!$C$6^(ROW(INDIRECT("1:"&amp;$E$9))-1))/Mortality!H23</f>
        <v>7.5290766995078311</v>
      </c>
      <c r="H18" cm="1">
        <f t="array" aca="1" ref="H18" ca="1">SUMPRODUCT(OFFSET(Mortality!$J23,0,0,Mortality!$C$7,1),Mortality!$C$6^(ROW(INDIRECT("1:"&amp;$E$9))-1))/Mortality!J23</f>
        <v>7.5424470922129512</v>
      </c>
    </row>
    <row r="19" spans="4:8" x14ac:dyDescent="0.3">
      <c r="D19">
        <v>30</v>
      </c>
      <c r="E19">
        <v>10</v>
      </c>
      <c r="F19" cm="1">
        <f t="array" aca="1" ref="F19" ca="1">SUMPRODUCT(OFFSET(Mortality!$F24,0,0,'Annuity factors'!$E$9,1),Mortality!$C$6^(ROW(INDIRECT("1:"&amp;$E$9))-1))/Mortality!F24</f>
        <v>7.5467392733098206</v>
      </c>
      <c r="G19" cm="1">
        <f t="array" aca="1" ref="G19" ca="1">SUMPRODUCT(OFFSET(Mortality!$H24,0,0,Mortality!$C$7,1),Mortality!$C$6^(ROW(INDIRECT("1:"&amp;$E$9))-1))/Mortality!H24</f>
        <v>7.5081072843608725</v>
      </c>
      <c r="H19" cm="1">
        <f t="array" aca="1" ref="H19" ca="1">SUMPRODUCT(OFFSET(Mortality!$J24,0,0,Mortality!$C$7,1),Mortality!$C$6^(ROW(INDIRECT("1:"&amp;$E$9))-1))/Mortality!J24</f>
        <v>7.5191719533741717</v>
      </c>
    </row>
    <row r="20" spans="4:8" x14ac:dyDescent="0.3">
      <c r="D20">
        <v>31</v>
      </c>
      <c r="E20">
        <v>10</v>
      </c>
      <c r="F20" cm="1">
        <f t="array" aca="1" ref="F20" ca="1">SUMPRODUCT(OFFSET(Mortality!$F25,0,0,'Annuity factors'!$E$9,1),Mortality!$C$6^(ROW(INDIRECT("1:"&amp;$E$9))-1))/Mortality!F25</f>
        <v>7.5908375338508334</v>
      </c>
      <c r="G20" cm="1">
        <f t="array" aca="1" ref="G20" ca="1">SUMPRODUCT(OFFSET(Mortality!$H25,0,0,Mortality!$C$7,1),Mortality!$C$6^(ROW(INDIRECT("1:"&amp;$E$9))-1))/Mortality!H25</f>
        <v>7.485278168686313</v>
      </c>
      <c r="H20" cm="1">
        <f t="array" aca="1" ref="H20" ca="1">SUMPRODUCT(OFFSET(Mortality!$J25,0,0,Mortality!$C$7,1),Mortality!$C$6^(ROW(INDIRECT("1:"&amp;$E$9))-1))/Mortality!J25</f>
        <v>7.4930730739566869</v>
      </c>
    </row>
    <row r="21" spans="4:8" x14ac:dyDescent="0.3">
      <c r="D21">
        <v>32</v>
      </c>
      <c r="E21">
        <v>10</v>
      </c>
      <c r="F21" cm="1">
        <f t="array" aca="1" ref="F21" ca="1">SUMPRODUCT(OFFSET(Mortality!$F26,0,0,'Annuity factors'!$E$9,1),Mortality!$C$6^(ROW(INDIRECT("1:"&amp;$E$9))-1))/Mortality!F26</f>
        <v>7.5341292600299852</v>
      </c>
      <c r="G21" cm="1">
        <f t="array" aca="1" ref="G21" ca="1">SUMPRODUCT(OFFSET(Mortality!$H26,0,0,Mortality!$C$7,1),Mortality!$C$6^(ROW(INDIRECT("1:"&amp;$E$9))-1))/Mortality!H26</f>
        <v>7.4604356182472733</v>
      </c>
      <c r="H21" cm="1">
        <f t="array" aca="1" ref="H21" ca="1">SUMPRODUCT(OFFSET(Mortality!$J26,0,0,Mortality!$C$7,1),Mortality!$C$6^(ROW(INDIRECT("1:"&amp;$E$9))-1))/Mortality!J26</f>
        <v>7.4637926381714763</v>
      </c>
    </row>
    <row r="22" spans="4:8" x14ac:dyDescent="0.3">
      <c r="D22">
        <v>33</v>
      </c>
      <c r="E22">
        <v>10</v>
      </c>
      <c r="F22" cm="1">
        <f t="array" aca="1" ref="F22" ca="1">SUMPRODUCT(OFFSET(Mortality!$F27,0,0,'Annuity factors'!$E$9,1),Mortality!$C$6^(ROW(INDIRECT("1:"&amp;$E$9))-1))/Mortality!F27</f>
        <v>7.4544233314177752</v>
      </c>
      <c r="G22" cm="1">
        <f t="array" aca="1" ref="G22" ca="1">SUMPRODUCT(OFFSET(Mortality!$H27,0,0,Mortality!$C$7,1),Mortality!$C$6^(ROW(INDIRECT("1:"&amp;$E$9))-1))/Mortality!H27</f>
        <v>7.4334153510128962</v>
      </c>
      <c r="H22" cm="1">
        <f t="array" aca="1" ref="H22" ca="1">SUMPRODUCT(OFFSET(Mortality!$J27,0,0,Mortality!$C$7,1),Mortality!$C$6^(ROW(INDIRECT("1:"&amp;$E$9))-1))/Mortality!J27</f>
        <v>7.4311531507442776</v>
      </c>
    </row>
    <row r="23" spans="4:8" x14ac:dyDescent="0.3">
      <c r="D23">
        <v>34</v>
      </c>
      <c r="E23">
        <v>10</v>
      </c>
      <c r="F23" cm="1">
        <f t="array" aca="1" ref="F23" ca="1">SUMPRODUCT(OFFSET(Mortality!$F28,0,0,'Annuity factors'!$E$9,1),Mortality!$C$6^(ROW(INDIRECT("1:"&amp;$E$9))-1))/Mortality!F28</f>
        <v>7.4392134446650173</v>
      </c>
      <c r="G23" cm="1">
        <f t="array" aca="1" ref="G23" ca="1">SUMPRODUCT(OFFSET(Mortality!$H28,0,0,Mortality!$C$7,1),Mortality!$C$6^(ROW(INDIRECT("1:"&amp;$E$9))-1))/Mortality!H28</f>
        <v>7.4040422421934693</v>
      </c>
      <c r="H23" cm="1">
        <f t="array" aca="1" ref="H23" ca="1">SUMPRODUCT(OFFSET(Mortality!$J28,0,0,Mortality!$C$7,1),Mortality!$C$6^(ROW(INDIRECT("1:"&amp;$E$9))-1))/Mortality!J28</f>
        <v>7.3951268462201307</v>
      </c>
    </row>
    <row r="24" spans="4:8" x14ac:dyDescent="0.3">
      <c r="D24">
        <v>35</v>
      </c>
      <c r="E24">
        <v>10</v>
      </c>
      <c r="F24" cm="1">
        <f t="array" aca="1" ref="F24" ca="1">SUMPRODUCT(OFFSET(Mortality!$F29,0,0,'Annuity factors'!$E$9,1),Mortality!$C$6^(ROW(INDIRECT("1:"&amp;$E$9))-1))/Mortality!F29</f>
        <v>7.3213900869900463</v>
      </c>
      <c r="G24" cm="1">
        <f t="array" aca="1" ref="G24" ca="1">SUMPRODUCT(OFFSET(Mortality!$H29,0,0,Mortality!$C$7,1),Mortality!$C$6^(ROW(INDIRECT("1:"&amp;$E$9))-1))/Mortality!H29</f>
        <v>7.3721301178479157</v>
      </c>
      <c r="H24" cm="1">
        <f t="array" aca="1" ref="H24" ca="1">SUMPRODUCT(OFFSET(Mortality!$J29,0,0,Mortality!$C$7,1),Mortality!$C$6^(ROW(INDIRECT("1:"&amp;$E$9))-1))/Mortality!J29</f>
        <v>7.355767668046715</v>
      </c>
    </row>
    <row r="25" spans="4:8" x14ac:dyDescent="0.3">
      <c r="D25">
        <v>36</v>
      </c>
      <c r="E25">
        <v>10</v>
      </c>
      <c r="F25" cm="1">
        <f t="array" aca="1" ref="F25" ca="1">SUMPRODUCT(OFFSET(Mortality!$F30,0,0,'Annuity factors'!$E$9,1),Mortality!$C$6^(ROW(INDIRECT("1:"&amp;$E$9))-1))/Mortality!F30</f>
        <v>7.2961989854227838</v>
      </c>
      <c r="G25" cm="1">
        <f t="array" aca="1" ref="G25" ca="1">SUMPRODUCT(OFFSET(Mortality!$H30,0,0,Mortality!$C$7,1),Mortality!$C$6^(ROW(INDIRECT("1:"&amp;$E$9))-1))/Mortality!H30</f>
        <v>7.3374816623871242</v>
      </c>
      <c r="H25" cm="1">
        <f t="array" aca="1" ref="H25" ca="1">SUMPRODUCT(OFFSET(Mortality!$J30,0,0,Mortality!$C$7,1),Mortality!$C$6^(ROW(INDIRECT("1:"&amp;$E$9))-1))/Mortality!J30</f>
        <v>7.3131978736091563</v>
      </c>
    </row>
    <row r="26" spans="4:8" x14ac:dyDescent="0.3">
      <c r="D26">
        <v>37</v>
      </c>
      <c r="E26">
        <v>10</v>
      </c>
      <c r="F26" cm="1">
        <f t="array" aca="1" ref="F26" ca="1">SUMPRODUCT(OFFSET(Mortality!$F31,0,0,'Annuity factors'!$E$9,1),Mortality!$C$6^(ROW(INDIRECT("1:"&amp;$E$9))-1))/Mortality!F31</f>
        <v>7.2104672723473904</v>
      </c>
      <c r="G26" cm="1">
        <f t="array" aca="1" ref="G26" ca="1">SUMPRODUCT(OFFSET(Mortality!$H31,0,0,Mortality!$C$7,1),Mortality!$C$6^(ROW(INDIRECT("1:"&amp;$E$9))-1))/Mortality!H31</f>
        <v>7.2998884694158575</v>
      </c>
      <c r="H26" cm="1">
        <f t="array" aca="1" ref="H26" ca="1">SUMPRODUCT(OFFSET(Mortality!$J31,0,0,Mortality!$C$7,1),Mortality!$C$6^(ROW(INDIRECT("1:"&amp;$E$9))-1))/Mortality!J31</f>
        <v>7.2675197718612754</v>
      </c>
    </row>
    <row r="27" spans="4:8" x14ac:dyDescent="0.3">
      <c r="D27">
        <v>38</v>
      </c>
      <c r="E27">
        <v>10</v>
      </c>
      <c r="F27" cm="1">
        <f t="array" aca="1" ref="F27" ca="1">SUMPRODUCT(OFFSET(Mortality!$F32,0,0,'Annuity factors'!$E$9,1),Mortality!$C$6^(ROW(INDIRECT("1:"&amp;$E$9))-1))/Mortality!F32</f>
        <v>7.2109468406313644</v>
      </c>
      <c r="G27" cm="1">
        <f t="array" aca="1" ref="G27" ca="1">SUMPRODUCT(OFFSET(Mortality!$H32,0,0,Mortality!$C$7,1),Mortality!$C$6^(ROW(INDIRECT("1:"&amp;$E$9))-1))/Mortality!H32</f>
        <v>7.2591312697931674</v>
      </c>
      <c r="H27" cm="1">
        <f t="array" aca="1" ref="H27" ca="1">SUMPRODUCT(OFFSET(Mortality!$J32,0,0,Mortality!$C$7,1),Mortality!$C$6^(ROW(INDIRECT("1:"&amp;$E$9))-1))/Mortality!J32</f>
        <v>7.2188020406701199</v>
      </c>
    </row>
    <row r="28" spans="4:8" x14ac:dyDescent="0.3">
      <c r="D28">
        <v>39</v>
      </c>
      <c r="E28">
        <v>10</v>
      </c>
      <c r="F28" cm="1">
        <f t="array" aca="1" ref="F28" ca="1">SUMPRODUCT(OFFSET(Mortality!$F33,0,0,'Annuity factors'!$E$9,1),Mortality!$C$6^(ROW(INDIRECT("1:"&amp;$E$9))-1))/Mortality!F33</f>
        <v>7.1268108001611985</v>
      </c>
      <c r="G28" cm="1">
        <f t="array" aca="1" ref="G28" ca="1">SUMPRODUCT(OFFSET(Mortality!$H33,0,0,Mortality!$C$7,1),Mortality!$C$6^(ROW(INDIRECT("1:"&amp;$E$9))-1))/Mortality!H33</f>
        <v>7.2149803754688833</v>
      </c>
      <c r="H28" cm="1">
        <f t="array" aca="1" ref="H28" ca="1">SUMPRODUCT(OFFSET(Mortality!$J33,0,0,Mortality!$C$7,1),Mortality!$C$6^(ROW(INDIRECT("1:"&amp;$E$9))-1))/Mortality!J33</f>
        <v>7.167057787627594</v>
      </c>
    </row>
    <row r="29" spans="4:8" x14ac:dyDescent="0.3">
      <c r="D29">
        <v>40</v>
      </c>
      <c r="E29">
        <v>10</v>
      </c>
      <c r="F29" cm="1">
        <f t="array" aca="1" ref="F29" ca="1">SUMPRODUCT(OFFSET(Mortality!$F34,0,0,'Annuity factors'!$E$9,1),Mortality!$C$6^(ROW(INDIRECT("1:"&amp;$E$9))-1))/Mortality!F34</f>
        <v>7.0654270019379659</v>
      </c>
      <c r="G29" cm="1">
        <f t="array" aca="1" ref="G29" ca="1">SUMPRODUCT(OFFSET(Mortality!$H34,0,0,Mortality!$C$7,1),Mortality!$C$6^(ROW(INDIRECT("1:"&amp;$E$9))-1))/Mortality!H34</f>
        <v>7.1671963824488252</v>
      </c>
      <c r="H29" cm="1">
        <f t="array" aca="1" ref="H29" ca="1">SUMPRODUCT(OFFSET(Mortality!$J34,0,0,Mortality!$C$7,1),Mortality!$C$6^(ROW(INDIRECT("1:"&amp;$E$9))-1))/Mortality!J34</f>
        <v>7.112281011234848</v>
      </c>
    </row>
    <row r="30" spans="4:8" x14ac:dyDescent="0.3">
      <c r="D30">
        <v>41</v>
      </c>
      <c r="E30">
        <v>10</v>
      </c>
      <c r="F30" cm="1">
        <f t="array" aca="1" ref="F30" ca="1">SUMPRODUCT(OFFSET(Mortality!$F35,0,0,'Annuity factors'!$E$9,1),Mortality!$C$6^(ROW(INDIRECT("1:"&amp;$E$9))-1))/Mortality!F35</f>
        <v>7.0835303113681078</v>
      </c>
      <c r="G30" cm="1">
        <f t="array" aca="1" ref="G30" ca="1">SUMPRODUCT(OFFSET(Mortality!$H35,0,0,Mortality!$C$7,1),Mortality!$C$6^(ROW(INDIRECT("1:"&amp;$E$9))-1))/Mortality!H35</f>
        <v>7.1155311809729032</v>
      </c>
      <c r="H30" cm="1">
        <f t="array" aca="1" ref="H30" ca="1">SUMPRODUCT(OFFSET(Mortality!$J35,0,0,Mortality!$C$7,1),Mortality!$C$6^(ROW(INDIRECT("1:"&amp;$E$9))-1))/Mortality!J35</f>
        <v>7.0544256321798589</v>
      </c>
    </row>
    <row r="31" spans="4:8" x14ac:dyDescent="0.3">
      <c r="D31">
        <v>42</v>
      </c>
      <c r="E31">
        <v>10</v>
      </c>
      <c r="F31" cm="1">
        <f t="array" aca="1" ref="F31" ca="1">SUMPRODUCT(OFFSET(Mortality!$F36,0,0,'Annuity factors'!$E$9,1),Mortality!$C$6^(ROW(INDIRECT("1:"&amp;$E$9))-1))/Mortality!F36</f>
        <v>7.0605977238046966</v>
      </c>
      <c r="G31" cm="1">
        <f t="array" aca="1" ref="G31" ca="1">SUMPRODUCT(OFFSET(Mortality!$H36,0,0,Mortality!$C$7,1),Mortality!$C$6^(ROW(INDIRECT("1:"&amp;$E$9))-1))/Mortality!H36</f>
        <v>7.0597293254054803</v>
      </c>
      <c r="H31" cm="1">
        <f t="array" aca="1" ref="H31" ca="1">SUMPRODUCT(OFFSET(Mortality!$J36,0,0,Mortality!$C$7,1),Mortality!$C$6^(ROW(INDIRECT("1:"&amp;$E$9))-1))/Mortality!J36</f>
        <v>6.9934105913810098</v>
      </c>
    </row>
    <row r="32" spans="4:8" x14ac:dyDescent="0.3">
      <c r="D32">
        <v>43</v>
      </c>
      <c r="E32">
        <v>10</v>
      </c>
      <c r="F32" cm="1">
        <f t="array" aca="1" ref="F32" ca="1">SUMPRODUCT(OFFSET(Mortality!$F37,0,0,'Annuity factors'!$E$9,1),Mortality!$C$6^(ROW(INDIRECT("1:"&amp;$E$9))-1))/Mortality!F37</f>
        <v>6.9640672269472059</v>
      </c>
      <c r="G32" cm="1">
        <f t="array" aca="1" ref="G32" ca="1">SUMPRODUCT(OFFSET(Mortality!$H37,0,0,Mortality!$C$7,1),Mortality!$C$6^(ROW(INDIRECT("1:"&amp;$E$9))-1))/Mortality!H37</f>
        <v>6.999529820095189</v>
      </c>
      <c r="H32" cm="1">
        <f t="array" aca="1" ref="H32" ca="1">SUMPRODUCT(OFFSET(Mortality!$J37,0,0,Mortality!$C$7,1),Mortality!$C$6^(ROW(INDIRECT("1:"&amp;$E$9))-1))/Mortality!J37</f>
        <v>6.9291957246372169</v>
      </c>
    </row>
    <row r="33" spans="4:8" x14ac:dyDescent="0.3">
      <c r="D33">
        <v>44</v>
      </c>
      <c r="E33">
        <v>10</v>
      </c>
      <c r="F33" cm="1">
        <f t="array" aca="1" ref="F33" ca="1">SUMPRODUCT(OFFSET(Mortality!$F38,0,0,'Annuity factors'!$E$9,1),Mortality!$C$6^(ROW(INDIRECT("1:"&amp;$E$9))-1))/Mortality!F38</f>
        <v>6.8910114585906612</v>
      </c>
      <c r="G33" cm="1">
        <f t="array" aca="1" ref="G33" ca="1">SUMPRODUCT(OFFSET(Mortality!$H38,0,0,Mortality!$C$7,1),Mortality!$C$6^(ROW(INDIRECT("1:"&amp;$E$9))-1))/Mortality!H38</f>
        <v>6.9346683801172393</v>
      </c>
      <c r="H33" cm="1">
        <f t="array" aca="1" ref="H33" ca="1">SUMPRODUCT(OFFSET(Mortality!$J38,0,0,Mortality!$C$7,1),Mortality!$C$6^(ROW(INDIRECT("1:"&amp;$E$9))-1))/Mortality!J38</f>
        <v>6.8618176253753767</v>
      </c>
    </row>
    <row r="34" spans="4:8" x14ac:dyDescent="0.3">
      <c r="D34">
        <v>45</v>
      </c>
      <c r="E34">
        <v>10</v>
      </c>
      <c r="F34" cm="1">
        <f t="array" aca="1" ref="F34" ca="1">SUMPRODUCT(OFFSET(Mortality!$F39,0,0,'Annuity factors'!$E$9,1),Mortality!$C$6^(ROW(INDIRECT("1:"&amp;$E$9))-1))/Mortality!F39</f>
        <v>6.8210095144799023</v>
      </c>
      <c r="G34" cm="1">
        <f t="array" aca="1" ref="G34" ca="1">SUMPRODUCT(OFFSET(Mortality!$H39,0,0,Mortality!$C$7,1),Mortality!$C$6^(ROW(INDIRECT("1:"&amp;$E$9))-1))/Mortality!H39</f>
        <v>6.864880226800687</v>
      </c>
      <c r="H34" cm="1">
        <f t="array" aca="1" ref="H34" ca="1">SUMPRODUCT(OFFSET(Mortality!$J39,0,0,Mortality!$C$7,1),Mortality!$C$6^(ROW(INDIRECT("1:"&amp;$E$9))-1))/Mortality!J39</f>
        <v>6.7913609803760462</v>
      </c>
    </row>
    <row r="35" spans="4:8" x14ac:dyDescent="0.3">
      <c r="D35">
        <v>46</v>
      </c>
      <c r="E35">
        <v>10</v>
      </c>
      <c r="F35" cm="1">
        <f t="array" aca="1" ref="F35" ca="1">SUMPRODUCT(OFFSET(Mortality!$F40,0,0,'Annuity factors'!$E$9,1),Mortality!$C$6^(ROW(INDIRECT("1:"&amp;$E$9))-1))/Mortality!F40</f>
        <v>6.9034633304674333</v>
      </c>
      <c r="G35" cm="1">
        <f t="array" aca="1" ref="G35" ca="1">SUMPRODUCT(OFFSET(Mortality!$H40,0,0,Mortality!$C$7,1),Mortality!$C$6^(ROW(INDIRECT("1:"&amp;$E$9))-1))/Mortality!H40</f>
        <v>6.7899034765705979</v>
      </c>
      <c r="H35" cm="1">
        <f t="array" aca="1" ref="H35" ca="1">SUMPRODUCT(OFFSET(Mortality!$J40,0,0,Mortality!$C$7,1),Mortality!$C$6^(ROW(INDIRECT("1:"&amp;$E$9))-1))/Mortality!J40</f>
        <v>6.7179360600042806</v>
      </c>
    </row>
    <row r="36" spans="4:8" x14ac:dyDescent="0.3">
      <c r="D36">
        <v>47</v>
      </c>
      <c r="E36">
        <v>10</v>
      </c>
      <c r="F36" cm="1">
        <f t="array" aca="1" ref="F36" ca="1">SUMPRODUCT(OFFSET(Mortality!$F41,0,0,'Annuity factors'!$E$9,1),Mortality!$C$6^(ROW(INDIRECT("1:"&amp;$E$9))-1))/Mortality!F41</f>
        <v>6.7061114891478288</v>
      </c>
      <c r="G36" cm="1">
        <f t="array" aca="1" ref="G36" ca="1">SUMPRODUCT(OFFSET(Mortality!$H41,0,0,Mortality!$C$7,1),Mortality!$C$6^(ROW(INDIRECT("1:"&amp;$E$9))-1))/Mortality!H41</f>
        <v>6.7094831770662884</v>
      </c>
      <c r="H36" cm="1">
        <f t="array" aca="1" ref="H36" ca="1">SUMPRODUCT(OFFSET(Mortality!$J41,0,0,Mortality!$C$7,1),Mortality!$C$6^(ROW(INDIRECT("1:"&amp;$E$9))-1))/Mortality!J41</f>
        <v>6.6416969961564289</v>
      </c>
    </row>
    <row r="37" spans="4:8" x14ac:dyDescent="0.3">
      <c r="D37">
        <v>48</v>
      </c>
      <c r="E37">
        <v>10</v>
      </c>
      <c r="F37" cm="1">
        <f t="array" aca="1" ref="F37" ca="1">SUMPRODUCT(OFFSET(Mortality!$F42,0,0,'Annuity factors'!$E$9,1),Mortality!$C$6^(ROW(INDIRECT("1:"&amp;$E$9))-1))/Mortality!F42</f>
        <v>6.6442262587541947</v>
      </c>
      <c r="G37" cm="1">
        <f t="array" aca="1" ref="G37" ca="1">SUMPRODUCT(OFFSET(Mortality!$H42,0,0,Mortality!$C$7,1),Mortality!$C$6^(ROW(INDIRECT("1:"&amp;$E$9))-1))/Mortality!H42</f>
        <v>6.6233760357648856</v>
      </c>
      <c r="H37" cm="1">
        <f t="array" aca="1" ref="H37" ca="1">SUMPRODUCT(OFFSET(Mortality!$J42,0,0,Mortality!$C$7,1),Mortality!$C$6^(ROW(INDIRECT("1:"&amp;$E$9))-1))/Mortality!J42</f>
        <v>6.5629250051711336</v>
      </c>
    </row>
    <row r="38" spans="4:8" x14ac:dyDescent="0.3">
      <c r="D38">
        <v>49</v>
      </c>
      <c r="E38">
        <v>10</v>
      </c>
      <c r="F38" cm="1">
        <f t="array" aca="1" ref="F38" ca="1">SUMPRODUCT(OFFSET(Mortality!$F43,0,0,'Annuity factors'!$E$9,1),Mortality!$C$6^(ROW(INDIRECT("1:"&amp;$E$9))-1))/Mortality!F43</f>
        <v>6.6410237385694879</v>
      </c>
      <c r="G38" cm="1">
        <f t="array" aca="1" ref="G38" ca="1">SUMPRODUCT(OFFSET(Mortality!$H43,0,0,Mortality!$C$7,1),Mortality!$C$6^(ROW(INDIRECT("1:"&amp;$E$9))-1))/Mortality!H43</f>
        <v>6.5313558723624041</v>
      </c>
      <c r="H38" cm="1">
        <f t="array" aca="1" ref="H38" ca="1">SUMPRODUCT(OFFSET(Mortality!$J43,0,0,Mortality!$C$7,1),Mortality!$C$6^(ROW(INDIRECT("1:"&amp;$E$9))-1))/Mortality!J43</f>
        <v>6.4819678448215052</v>
      </c>
    </row>
    <row r="39" spans="4:8" x14ac:dyDescent="0.3">
      <c r="D39">
        <v>50</v>
      </c>
      <c r="E39">
        <v>10</v>
      </c>
      <c r="F39" cm="1">
        <f t="array" aca="1" ref="F39" ca="1">SUMPRODUCT(OFFSET(Mortality!$F44,0,0,'Annuity factors'!$E$9,1),Mortality!$C$6^(ROW(INDIRECT("1:"&amp;$E$9))-1))/Mortality!F44</f>
        <v>6.4949107118328513</v>
      </c>
      <c r="G39" cm="1">
        <f t="array" aca="1" ref="G39" ca="1">SUMPRODUCT(OFFSET(Mortality!$H44,0,0,Mortality!$C$7,1),Mortality!$C$6^(ROW(INDIRECT("1:"&amp;$E$9))-1))/Mortality!H44</f>
        <v>6.4332198057910821</v>
      </c>
      <c r="H39" cm="1">
        <f t="array" aca="1" ref="H39" ca="1">SUMPRODUCT(OFFSET(Mortality!$J44,0,0,Mortality!$C$7,1),Mortality!$C$6^(ROW(INDIRECT("1:"&amp;$E$9))-1))/Mortality!J44</f>
        <v>6.399233473378553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76CB-37BF-40A9-84AC-57252399CBA7}">
  <dimension ref="D9:G42"/>
  <sheetViews>
    <sheetView workbookViewId="0">
      <selection activeCell="O9" sqref="O9"/>
    </sheetView>
  </sheetViews>
  <sheetFormatPr defaultRowHeight="14.4" x14ac:dyDescent="0.3"/>
  <cols>
    <col min="5" max="5" width="29.77734375" bestFit="1" customWidth="1"/>
    <col min="6" max="6" width="19" bestFit="1" customWidth="1"/>
    <col min="7" max="7" width="16.6640625" bestFit="1" customWidth="1"/>
  </cols>
  <sheetData>
    <row r="9" spans="4:7" x14ac:dyDescent="0.3">
      <c r="E9" t="s">
        <v>34</v>
      </c>
    </row>
    <row r="10" spans="4:7" x14ac:dyDescent="0.3">
      <c r="D10" t="s">
        <v>25</v>
      </c>
      <c r="E10" t="s">
        <v>35</v>
      </c>
      <c r="F10" t="s">
        <v>36</v>
      </c>
      <c r="G10" t="s">
        <v>37</v>
      </c>
    </row>
    <row r="11" spans="4:7" x14ac:dyDescent="0.3">
      <c r="D11">
        <v>20</v>
      </c>
      <c r="E11" s="5">
        <f ca="1">Mortality!$C$4*'Assurance FActors'!E9</f>
        <v>5395.4461849673271</v>
      </c>
      <c r="F11" s="5">
        <f ca="1">Mortality!$C$4*'Assurance FActors'!F9</f>
        <v>5338.9192179654783</v>
      </c>
      <c r="G11" s="5">
        <f ca="1">Mortality!$C$4*'Assurance FActors'!G9</f>
        <v>5216.2925669706719</v>
      </c>
    </row>
    <row r="12" spans="4:7" x14ac:dyDescent="0.3">
      <c r="D12">
        <v>21</v>
      </c>
      <c r="E12" s="5">
        <f ca="1">Mortality!$C$4*'Assurance FActors'!E10</f>
        <v>5613.1419977182313</v>
      </c>
      <c r="F12" s="5">
        <f ca="1">Mortality!$C$4*'Assurance FActors'!F10</f>
        <v>5462.8802297746588</v>
      </c>
      <c r="G12" s="5">
        <f ca="1">Mortality!$C$4*'Assurance FActors'!G10</f>
        <v>5316.364488600314</v>
      </c>
    </row>
    <row r="13" spans="4:7" x14ac:dyDescent="0.3">
      <c r="D13">
        <v>22</v>
      </c>
      <c r="E13" s="5">
        <f ca="1">Mortality!$C$4*'Assurance FActors'!E11</f>
        <v>5375.892988397185</v>
      </c>
      <c r="F13" s="5">
        <f ca="1">Mortality!$C$4*'Assurance FActors'!F11</f>
        <v>5597.9939486059939</v>
      </c>
      <c r="G13" s="5">
        <f ca="1">Mortality!$C$4*'Assurance FActors'!G11</f>
        <v>5433.0936527121394</v>
      </c>
    </row>
    <row r="14" spans="4:7" x14ac:dyDescent="0.3">
      <c r="D14">
        <v>23</v>
      </c>
      <c r="E14" s="5">
        <f ca="1">Mortality!$C$4*'Assurance FActors'!E12</f>
        <v>5345.3678298338164</v>
      </c>
      <c r="F14" s="5">
        <f ca="1">Mortality!$C$4*'Assurance FActors'!F12</f>
        <v>5745.2130982700664</v>
      </c>
      <c r="G14" s="5">
        <f ca="1">Mortality!$C$4*'Assurance FActors'!G12</f>
        <v>5568.8862062040362</v>
      </c>
    </row>
    <row r="15" spans="4:7" x14ac:dyDescent="0.3">
      <c r="D15">
        <v>24</v>
      </c>
      <c r="E15" s="5">
        <f ca="1">Mortality!$C$4*'Assurance FActors'!E13</f>
        <v>5760.7199467640439</v>
      </c>
      <c r="F15" s="5">
        <f ca="1">Mortality!$C$4*'Assurance FActors'!F13</f>
        <v>5905.561894718483</v>
      </c>
      <c r="G15" s="5">
        <f ca="1">Mortality!$C$4*'Assurance FActors'!G13</f>
        <v>5725.7172771348032</v>
      </c>
    </row>
    <row r="16" spans="4:7" x14ac:dyDescent="0.3">
      <c r="D16">
        <v>25</v>
      </c>
      <c r="E16" s="5">
        <f ca="1">Mortality!$C$4*'Assurance FActors'!E14</f>
        <v>5938.1494102541164</v>
      </c>
      <c r="F16" s="5">
        <f ca="1">Mortality!$C$4*'Assurance FActors'!F14</f>
        <v>6080.1394333541784</v>
      </c>
      <c r="G16" s="5">
        <f ca="1">Mortality!$C$4*'Assurance FActors'!G14</f>
        <v>5904.8343172923596</v>
      </c>
    </row>
    <row r="17" spans="4:7" x14ac:dyDescent="0.3">
      <c r="D17">
        <v>26</v>
      </c>
      <c r="E17" s="5">
        <f ca="1">Mortality!$C$4*'Assurance FActors'!E15</f>
        <v>6171.2670943891771</v>
      </c>
      <c r="F17" s="5">
        <f ca="1">Mortality!$C$4*'Assurance FActors'!F15</f>
        <v>6270.1228044660602</v>
      </c>
      <c r="G17" s="5">
        <f ca="1">Mortality!$C$4*'Assurance FActors'!G15</f>
        <v>6107.2751844712766</v>
      </c>
    </row>
    <row r="18" spans="4:7" x14ac:dyDescent="0.3">
      <c r="D18">
        <v>27</v>
      </c>
      <c r="E18" s="5">
        <f ca="1">Mortality!$C$4*'Assurance FActors'!E16</f>
        <v>6355.0721168679465</v>
      </c>
      <c r="F18" s="5">
        <f ca="1">Mortality!$C$4*'Assurance FActors'!F16</f>
        <v>6476.7698142817017</v>
      </c>
      <c r="G18" s="5">
        <f ca="1">Mortality!$C$4*'Assurance FActors'!G16</f>
        <v>6334.2367485937912</v>
      </c>
    </row>
    <row r="19" spans="4:7" x14ac:dyDescent="0.3">
      <c r="D19">
        <v>28</v>
      </c>
      <c r="E19" s="5">
        <f ca="1">Mortality!$C$4*'Assurance FActors'!E17</f>
        <v>6784.0497076683787</v>
      </c>
      <c r="F19" s="5">
        <f ca="1">Mortality!$C$4*'Assurance FActors'!F17</f>
        <v>6701.4211640461754</v>
      </c>
      <c r="G19" s="5">
        <f ca="1">Mortality!$C$4*'Assurance FActors'!G17</f>
        <v>6587.1275192180365</v>
      </c>
    </row>
    <row r="20" spans="4:7" x14ac:dyDescent="0.3">
      <c r="D20">
        <v>29</v>
      </c>
      <c r="E20" s="5">
        <f ca="1">Mortality!$C$4*'Assurance FActors'!E18</f>
        <v>6984.2561616790454</v>
      </c>
      <c r="F20" s="5">
        <f ca="1">Mortality!$C$4*'Assurance FActors'!F18</f>
        <v>6945.5019109474579</v>
      </c>
      <c r="G20" s="5">
        <f ca="1">Mortality!$C$4*'Assurance FActors'!G18</f>
        <v>6867.5953543520227</v>
      </c>
    </row>
    <row r="21" spans="4:7" x14ac:dyDescent="0.3">
      <c r="D21">
        <v>30</v>
      </c>
      <c r="E21" s="5">
        <f ca="1">Mortality!$C$4*'Assurance FActors'!E19</f>
        <v>6843.3629168239268</v>
      </c>
      <c r="F21" s="5">
        <f ca="1">Mortality!$C$4*'Assurance FActors'!F19</f>
        <v>7210.522002465269</v>
      </c>
      <c r="G21" s="5">
        <f ca="1">Mortality!$C$4*'Assurance FActors'!G19</f>
        <v>7177.6756925618429</v>
      </c>
    </row>
    <row r="22" spans="4:7" x14ac:dyDescent="0.3">
      <c r="D22">
        <v>31</v>
      </c>
      <c r="E22" s="5">
        <f ca="1">Mortality!$C$4*'Assurance FActors'!E20</f>
        <v>7088.5549441072253</v>
      </c>
      <c r="F22" s="5">
        <f ca="1">Mortality!$C$4*'Assurance FActors'!F20</f>
        <v>7498.0756397824898</v>
      </c>
      <c r="G22" s="5">
        <f ca="1">Mortality!$C$4*'Assurance FActors'!G20</f>
        <v>7519.5701248418245</v>
      </c>
    </row>
    <row r="23" spans="4:7" x14ac:dyDescent="0.3">
      <c r="D23">
        <v>32</v>
      </c>
      <c r="E23" s="5">
        <f ca="1">Mortality!$C$4*'Assurance FActors'!E21</f>
        <v>7715.229502291354</v>
      </c>
      <c r="F23" s="5">
        <f ca="1">Mortality!$C$4*'Assurance FActors'!F21</f>
        <v>7809.8391863971747</v>
      </c>
      <c r="G23" s="5">
        <f ca="1">Mortality!$C$4*'Assurance FActors'!G21</f>
        <v>7894.8010753008684</v>
      </c>
    </row>
    <row r="24" spans="4:7" x14ac:dyDescent="0.3">
      <c r="D24">
        <v>33</v>
      </c>
      <c r="E24" s="5">
        <f ca="1">Mortality!$C$4*'Assurance FActors'!E22</f>
        <v>8234.4331413201762</v>
      </c>
      <c r="F24" s="5">
        <f ca="1">Mortality!$C$4*'Assurance FActors'!F22</f>
        <v>8147.5672953821158</v>
      </c>
      <c r="G24" s="5">
        <f ca="1">Mortality!$C$4*'Assurance FActors'!G22</f>
        <v>8303.8079779125492</v>
      </c>
    </row>
    <row r="25" spans="4:7" x14ac:dyDescent="0.3">
      <c r="D25">
        <v>34</v>
      </c>
      <c r="E25" s="5">
        <f ca="1">Mortality!$C$4*'Assurance FActors'!E23</f>
        <v>8458.5306341628711</v>
      </c>
      <c r="F25" s="5">
        <f ca="1">Mortality!$C$4*'Assurance FActors'!F23</f>
        <v>8513.086883557884</v>
      </c>
      <c r="G25" s="5">
        <f ca="1">Mortality!$C$4*'Assurance FActors'!G23</f>
        <v>8746.2851514618797</v>
      </c>
    </row>
    <row r="26" spans="4:7" x14ac:dyDescent="0.3">
      <c r="D26">
        <v>35</v>
      </c>
      <c r="E26" s="5">
        <f ca="1">Mortality!$C$4*'Assurance FActors'!E24</f>
        <v>9351.6935503013246</v>
      </c>
      <c r="F26" s="5">
        <f ca="1">Mortality!$C$4*'Assurance FActors'!F24</f>
        <v>8908.2885343143262</v>
      </c>
      <c r="G26" s="5">
        <f ca="1">Mortality!$C$4*'Assurance FActors'!G24</f>
        <v>9221.4660923795655</v>
      </c>
    </row>
    <row r="27" spans="4:7" x14ac:dyDescent="0.3">
      <c r="D27">
        <v>36</v>
      </c>
      <c r="E27" s="5">
        <f ca="1">Mortality!$C$4*'Assurance FActors'!E25</f>
        <v>10267.116423560215</v>
      </c>
      <c r="F27" s="5">
        <f ca="1">Mortality!$C$4*'Assurance FActors'!F25</f>
        <v>9335.1148646432939</v>
      </c>
      <c r="G27" s="5">
        <f ca="1">Mortality!$C$4*'Assurance FActors'!G25</f>
        <v>9728.103195193069</v>
      </c>
    </row>
    <row r="28" spans="4:7" x14ac:dyDescent="0.3">
      <c r="D28">
        <v>37</v>
      </c>
      <c r="E28" s="5">
        <f ca="1">Mortality!$C$4*'Assurance FActors'!E26</f>
        <v>10489.060847631799</v>
      </c>
      <c r="F28" s="5">
        <f ca="1">Mortality!$C$4*'Assurance FActors'!F26</f>
        <v>9795.5453485642811</v>
      </c>
      <c r="G28" s="5">
        <f ca="1">Mortality!$C$4*'Assurance FActors'!G26</f>
        <v>10265.035076011505</v>
      </c>
    </row>
    <row r="29" spans="4:7" x14ac:dyDescent="0.3">
      <c r="D29">
        <v>38</v>
      </c>
      <c r="E29" s="5">
        <f ca="1">Mortality!$C$4*'Assurance FActors'!E27</f>
        <v>10773.147609814887</v>
      </c>
      <c r="F29" s="5">
        <f ca="1">Mortality!$C$4*'Assurance FActors'!F27</f>
        <v>10291.577051866438</v>
      </c>
      <c r="G29" s="5">
        <f ca="1">Mortality!$C$4*'Assurance FActors'!G27</f>
        <v>10831.514559349955</v>
      </c>
    </row>
    <row r="30" spans="4:7" x14ac:dyDescent="0.3">
      <c r="D30">
        <v>39</v>
      </c>
      <c r="E30" s="5">
        <f ca="1">Mortality!$C$4*'Assurance FActors'!E28</f>
        <v>11721.947493214268</v>
      </c>
      <c r="F30" s="5">
        <f ca="1">Mortality!$C$4*'Assurance FActors'!F28</f>
        <v>10825.200706378331</v>
      </c>
      <c r="G30" s="5">
        <f ca="1">Mortality!$C$4*'Assurance FActors'!G28</f>
        <v>11427.012971761636</v>
      </c>
    </row>
    <row r="31" spans="4:7" x14ac:dyDescent="0.3">
      <c r="D31">
        <v>40</v>
      </c>
      <c r="E31" s="5">
        <f ca="1">Mortality!$C$4*'Assurance FActors'!E29</f>
        <v>12057.080749811186</v>
      </c>
      <c r="F31" s="5">
        <f ca="1">Mortality!$C$4*'Assurance FActors'!F29</f>
        <v>11398.371541523089</v>
      </c>
      <c r="G31" s="5">
        <f ca="1">Mortality!$C$4*'Assurance FActors'!G29</f>
        <v>12050.930142030844</v>
      </c>
    </row>
    <row r="32" spans="4:7" x14ac:dyDescent="0.3">
      <c r="D32">
        <v>41</v>
      </c>
      <c r="E32" s="5">
        <f ca="1">Mortality!$C$4*'Assurance FActors'!E30</f>
        <v>11778.251642474612</v>
      </c>
      <c r="F32" s="5">
        <f ca="1">Mortality!$C$4*'Assurance FActors'!F30</f>
        <v>12012.974303910396</v>
      </c>
      <c r="G32" s="5">
        <f ca="1">Mortality!$C$4*'Assurance FActors'!G30</f>
        <v>12702.75789383982</v>
      </c>
    </row>
    <row r="33" spans="4:7" x14ac:dyDescent="0.3">
      <c r="D33">
        <v>42</v>
      </c>
      <c r="E33" s="5">
        <f ca="1">Mortality!$C$4*'Assurance FActors'!E31</f>
        <v>12696.149196156772</v>
      </c>
      <c r="F33" s="5">
        <f ca="1">Mortality!$C$4*'Assurance FActors'!F31</f>
        <v>12670.781940974415</v>
      </c>
      <c r="G33" s="5">
        <f ca="1">Mortality!$C$4*'Assurance FActors'!G31</f>
        <v>13381.806231307903</v>
      </c>
    </row>
    <row r="34" spans="4:7" x14ac:dyDescent="0.3">
      <c r="D34">
        <v>43</v>
      </c>
      <c r="E34" s="5">
        <f ca="1">Mortality!$C$4*'Assurance FActors'!E32</f>
        <v>12948.198796303925</v>
      </c>
      <c r="F34" s="5">
        <f ca="1">Mortality!$C$4*'Assurance FActors'!F32</f>
        <v>13373.407512700614</v>
      </c>
      <c r="G34" s="5">
        <f ca="1">Mortality!$C$4*'Assurance FActors'!G32</f>
        <v>14086.555736439244</v>
      </c>
    </row>
    <row r="35" spans="4:7" x14ac:dyDescent="0.3">
      <c r="D35">
        <v>44</v>
      </c>
      <c r="E35" s="5">
        <f ca="1">Mortality!$C$4*'Assurance FActors'!E33</f>
        <v>14269.142063333953</v>
      </c>
      <c r="F35" s="5">
        <f ca="1">Mortality!$C$4*'Assurance FActors'!F33</f>
        <v>14122.249038444628</v>
      </c>
      <c r="G35" s="5">
        <f ca="1">Mortality!$C$4*'Assurance FActors'!G33</f>
        <v>14814.625658348932</v>
      </c>
    </row>
    <row r="36" spans="4:7" x14ac:dyDescent="0.3">
      <c r="D36">
        <v>45</v>
      </c>
      <c r="E36" s="5">
        <f ca="1">Mortality!$C$4*'Assurance FActors'!E34</f>
        <v>15615.51360450876</v>
      </c>
      <c r="F36" s="5">
        <f ca="1">Mortality!$C$4*'Assurance FActors'!F34</f>
        <v>14918.427197245754</v>
      </c>
      <c r="G36" s="5">
        <f ca="1">Mortality!$C$4*'Assurance FActors'!G34</f>
        <v>15562.837087098183</v>
      </c>
    </row>
    <row r="37" spans="4:7" x14ac:dyDescent="0.3">
      <c r="D37">
        <v>46</v>
      </c>
      <c r="E37" s="5">
        <f ca="1">Mortality!$C$4*'Assurance FActors'!E35</f>
        <v>15399.680997171563</v>
      </c>
      <c r="F37" s="5">
        <f ca="1">Mortality!$C$4*'Assurance FActors'!F35</f>
        <v>15762.716094178741</v>
      </c>
      <c r="G37" s="5">
        <f ca="1">Mortality!$C$4*'Assurance FActors'!G35</f>
        <v>16327.673217378395</v>
      </c>
    </row>
    <row r="38" spans="4:7" x14ac:dyDescent="0.3">
      <c r="D38">
        <v>47</v>
      </c>
      <c r="E38" s="5">
        <f ca="1">Mortality!$C$4*'Assurance FActors'!E36</f>
        <v>16548.016270827113</v>
      </c>
      <c r="F38" s="5">
        <f ca="1">Mortality!$C$4*'Assurance FActors'!F36</f>
        <v>16655.467696262651</v>
      </c>
      <c r="G38" s="5">
        <f ca="1">Mortality!$C$4*'Assurance FActors'!G36</f>
        <v>17105.546888577246</v>
      </c>
    </row>
    <row r="39" spans="4:7" x14ac:dyDescent="0.3">
      <c r="D39">
        <v>48</v>
      </c>
      <c r="E39" s="5">
        <f ca="1">Mortality!$C$4*'Assurance FActors'!E37</f>
        <v>16974.693178335525</v>
      </c>
      <c r="F39" s="5">
        <f ca="1">Mortality!$C$4*'Assurance FActors'!F37</f>
        <v>17596.531041586499</v>
      </c>
      <c r="G39" s="5">
        <f ca="1">Mortality!$C$4*'Assurance FActors'!G37</f>
        <v>17892.379865831601</v>
      </c>
    </row>
    <row r="40" spans="4:7" x14ac:dyDescent="0.3">
      <c r="D40">
        <v>49</v>
      </c>
      <c r="E40" s="5">
        <f ca="1">Mortality!$C$4*'Assurance FActors'!E38</f>
        <v>17717.290434074097</v>
      </c>
      <c r="F40" s="5">
        <f ca="1">Mortality!$C$4*'Assurance FActors'!F38</f>
        <v>18585.167942947912</v>
      </c>
      <c r="G40" s="5">
        <f ca="1">Mortality!$C$4*'Assurance FActors'!G38</f>
        <v>18683.834804824699</v>
      </c>
    </row>
    <row r="41" spans="4:7" x14ac:dyDescent="0.3">
      <c r="D41">
        <v>50</v>
      </c>
      <c r="E41" s="5">
        <f ca="1">Mortality!$C$4*'Assurance FActors'!E39</f>
        <v>19035.08328971162</v>
      </c>
      <c r="F41" s="5">
        <f ca="1">Mortality!$C$4*'Assurance FActors'!F39</f>
        <v>19619.967643708664</v>
      </c>
      <c r="G41" s="5">
        <f ca="1">Mortality!$C$4*'Assurance FActors'!G39</f>
        <v>19475.318021904663</v>
      </c>
    </row>
    <row r="42" spans="4:7" x14ac:dyDescent="0.3">
      <c r="E4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EBB6-1F03-4F33-A037-B20C11C81D33}">
  <dimension ref="E9:H41"/>
  <sheetViews>
    <sheetView tabSelected="1" topLeftCell="D45" workbookViewId="0">
      <selection activeCell="Q63" sqref="Q63"/>
    </sheetView>
  </sheetViews>
  <sheetFormatPr defaultRowHeight="14.4" x14ac:dyDescent="0.3"/>
  <cols>
    <col min="6" max="6" width="10.33203125" bestFit="1" customWidth="1"/>
    <col min="7" max="7" width="18.5546875" bestFit="1" customWidth="1"/>
    <col min="8" max="8" width="16.21875" bestFit="1" customWidth="1"/>
  </cols>
  <sheetData>
    <row r="9" spans="5:8" x14ac:dyDescent="0.3">
      <c r="G9" t="s">
        <v>38</v>
      </c>
    </row>
    <row r="10" spans="5:8" x14ac:dyDescent="0.3">
      <c r="E10" t="s">
        <v>25</v>
      </c>
      <c r="F10" t="s">
        <v>35</v>
      </c>
      <c r="G10" t="s">
        <v>39</v>
      </c>
      <c r="H10" t="s">
        <v>40</v>
      </c>
    </row>
    <row r="11" spans="5:8" x14ac:dyDescent="0.3">
      <c r="E11">
        <v>20</v>
      </c>
      <c r="F11" s="5">
        <f ca="1">'EPV of Benefits'!E11/'Annuity factors'!F9</f>
        <v>704.54676093908984</v>
      </c>
      <c r="G11" s="5">
        <f ca="1">'EPV of Benefits'!F11/'Annuity factors'!G9</f>
        <v>697.46153280424437</v>
      </c>
      <c r="H11" s="5">
        <f ca="1">'EPV of Benefits'!G11/'Annuity factors'!H9</f>
        <v>680.76380080931676</v>
      </c>
    </row>
    <row r="12" spans="5:8" x14ac:dyDescent="0.3">
      <c r="E12">
        <v>21</v>
      </c>
      <c r="F12" s="5">
        <f ca="1">'EPV of Benefits'!E12/'Annuity factors'!F10</f>
        <v>732.17244408853674</v>
      </c>
      <c r="G12" s="5">
        <f ca="1">'EPV of Benefits'!F12/'Annuity factors'!G10</f>
        <v>714.55303412902083</v>
      </c>
      <c r="H12" s="5">
        <f ca="1">'EPV of Benefits'!G12/'Annuity factors'!H10</f>
        <v>694.40074882603403</v>
      </c>
    </row>
    <row r="13" spans="5:8" x14ac:dyDescent="0.3">
      <c r="E13">
        <v>22</v>
      </c>
      <c r="F13" s="5">
        <f ca="1">'EPV of Benefits'!E13/'Annuity factors'!F11</f>
        <v>698.80924855432033</v>
      </c>
      <c r="G13" s="5">
        <f ca="1">'EPV of Benefits'!F13/'Annuity factors'!G11</f>
        <v>733.23279381232135</v>
      </c>
      <c r="H13" s="5">
        <f ca="1">'EPV of Benefits'!G13/'Annuity factors'!H11</f>
        <v>710.37263770705499</v>
      </c>
    </row>
    <row r="14" spans="5:8" x14ac:dyDescent="0.3">
      <c r="E14">
        <v>23</v>
      </c>
      <c r="F14" s="5">
        <f ca="1">'EPV of Benefits'!E14/'Annuity factors'!F12</f>
        <v>695.87553365687495</v>
      </c>
      <c r="G14" s="5">
        <f ca="1">'EPV of Benefits'!F14/'Annuity factors'!G12</f>
        <v>753.64656908055804</v>
      </c>
      <c r="H14" s="5">
        <f ca="1">'EPV of Benefits'!G14/'Annuity factors'!H12</f>
        <v>729.03725807917624</v>
      </c>
    </row>
    <row r="15" spans="5:8" x14ac:dyDescent="0.3">
      <c r="E15">
        <v>24</v>
      </c>
      <c r="F15" s="5">
        <f ca="1">'EPV of Benefits'!E15/'Annuity factors'!F13</f>
        <v>754.00071678088329</v>
      </c>
      <c r="G15" s="5">
        <f ca="1">'EPV of Benefits'!F15/'Annuity factors'!G13</f>
        <v>775.95313521511719</v>
      </c>
      <c r="H15" s="5">
        <f ca="1">'EPV of Benefits'!G15/'Annuity factors'!H13</f>
        <v>750.6899051155732</v>
      </c>
    </row>
    <row r="16" spans="5:8" x14ac:dyDescent="0.3">
      <c r="E16">
        <v>25</v>
      </c>
      <c r="F16" s="5">
        <f ca="1">'EPV of Benefits'!E16/'Annuity factors'!F14</f>
        <v>783.93231601929654</v>
      </c>
      <c r="G16" s="5">
        <f ca="1">'EPV of Benefits'!F16/'Annuity factors'!G14</f>
        <v>800.32537813283147</v>
      </c>
      <c r="H16" s="5">
        <f ca="1">'EPV of Benefits'!G16/'Annuity factors'!H14</f>
        <v>775.52286761472828</v>
      </c>
    </row>
    <row r="17" spans="5:8" x14ac:dyDescent="0.3">
      <c r="E17">
        <v>26</v>
      </c>
      <c r="F17" s="5">
        <f ca="1">'EPV of Benefits'!E17/'Annuity factors'!F15</f>
        <v>815.59724054554033</v>
      </c>
      <c r="G17" s="5">
        <f ca="1">'EPV of Benefits'!F17/'Annuity factors'!G15</f>
        <v>826.95146481335109</v>
      </c>
      <c r="H17" s="5">
        <f ca="1">'EPV of Benefits'!G17/'Annuity factors'!H15</f>
        <v>803.70101165751385</v>
      </c>
    </row>
    <row r="18" spans="5:8" x14ac:dyDescent="0.3">
      <c r="E18">
        <v>27</v>
      </c>
      <c r="F18" s="5">
        <f ca="1">'EPV of Benefits'!E18/'Annuity factors'!F16</f>
        <v>842.97887719966172</v>
      </c>
      <c r="G18" s="5">
        <f ca="1">'EPV of Benefits'!F18/'Annuity factors'!G16</f>
        <v>856.03609428382572</v>
      </c>
      <c r="H18" s="5">
        <f ca="1">'EPV of Benefits'!G18/'Annuity factors'!H16</f>
        <v>835.42284729011271</v>
      </c>
    </row>
    <row r="19" spans="5:8" x14ac:dyDescent="0.3">
      <c r="E19">
        <v>28</v>
      </c>
      <c r="F19" s="5">
        <f ca="1">'EPV of Benefits'!E19/'Annuity factors'!F17</f>
        <v>901.78153873993199</v>
      </c>
      <c r="G19" s="5">
        <f ca="1">'EPV of Benefits'!F19/'Annuity factors'!G17</f>
        <v>887.80183130597266</v>
      </c>
      <c r="H19" s="5">
        <f ca="1">'EPV of Benefits'!G19/'Annuity factors'!H17</f>
        <v>870.93193609012053</v>
      </c>
    </row>
    <row r="20" spans="5:8" x14ac:dyDescent="0.3">
      <c r="E20">
        <v>29</v>
      </c>
      <c r="F20" s="5">
        <f ca="1">'EPV of Benefits'!E20/'Annuity factors'!F18</f>
        <v>932.15786990751496</v>
      </c>
      <c r="G20" s="5">
        <f ca="1">'EPV of Benefits'!F20/'Annuity factors'!G18</f>
        <v>922.49052415702965</v>
      </c>
      <c r="H20" s="5">
        <f ca="1">'EPV of Benefits'!G20/'Annuity factors'!H18</f>
        <v>910.52615555531497</v>
      </c>
    </row>
    <row r="21" spans="5:8" x14ac:dyDescent="0.3">
      <c r="E21">
        <v>30</v>
      </c>
      <c r="F21" s="5">
        <f ca="1">'EPV of Benefits'!E21/'Annuity factors'!F19</f>
        <v>906.79731589860398</v>
      </c>
      <c r="G21" s="5">
        <f ca="1">'EPV of Benefits'!F21/'Annuity factors'!G19</f>
        <v>960.36480691805468</v>
      </c>
      <c r="H21" s="5">
        <f ca="1">'EPV of Benefits'!G21/'Annuity factors'!H19</f>
        <v>954.5832622355332</v>
      </c>
    </row>
    <row r="22" spans="5:8" x14ac:dyDescent="0.3">
      <c r="E22">
        <v>31</v>
      </c>
      <c r="F22" s="5">
        <f ca="1">'EPV of Benefits'!E22/'Annuity factors'!F20</f>
        <v>933.83041232226185</v>
      </c>
      <c r="G22" s="5">
        <f ca="1">'EPV of Benefits'!F22/'Annuity factors'!G20</f>
        <v>1001.7096854395757</v>
      </c>
      <c r="H22" s="5">
        <f ca="1">'EPV of Benefits'!G22/'Annuity factors'!H20</f>
        <v>1003.5362061231235</v>
      </c>
    </row>
    <row r="23" spans="5:8" x14ac:dyDescent="0.3">
      <c r="E23">
        <v>32</v>
      </c>
      <c r="F23" s="5">
        <f ca="1">'EPV of Benefits'!E23/'Annuity factors'!F21</f>
        <v>1024.0373155292332</v>
      </c>
      <c r="G23" s="5">
        <f ca="1">'EPV of Benefits'!F23/'Annuity factors'!G21</f>
        <v>1046.8342045999707</v>
      </c>
      <c r="H23" s="5">
        <f ca="1">'EPV of Benefits'!G23/'Annuity factors'!H21</f>
        <v>1057.746571752961</v>
      </c>
    </row>
    <row r="24" spans="5:8" x14ac:dyDescent="0.3">
      <c r="E24">
        <v>33</v>
      </c>
      <c r="F24" s="5">
        <f ca="1">'EPV of Benefits'!E24/'Annuity factors'!F22</f>
        <v>1104.6371765090041</v>
      </c>
      <c r="G24" s="5">
        <f ca="1">'EPV of Benefits'!F24/'Annuity factors'!G22</f>
        <v>1096.0731925563539</v>
      </c>
      <c r="H24" s="5">
        <f ca="1">'EPV of Benefits'!G24/'Annuity factors'!H22</f>
        <v>1117.4319529507839</v>
      </c>
    </row>
    <row r="25" spans="5:8" x14ac:dyDescent="0.3">
      <c r="E25">
        <v>34</v>
      </c>
      <c r="F25" s="5">
        <f ca="1">'EPV of Benefits'!E25/'Annuity factors'!F23</f>
        <v>1137.0194842613166</v>
      </c>
      <c r="G25" s="5">
        <f ca="1">'EPV of Benefits'!F25/'Annuity factors'!G23</f>
        <v>1149.7890753572817</v>
      </c>
      <c r="H25" s="5">
        <f ca="1">'EPV of Benefits'!G25/'Annuity factors'!H23</f>
        <v>1182.7092804949473</v>
      </c>
    </row>
    <row r="26" spans="5:8" x14ac:dyDescent="0.3">
      <c r="E26">
        <v>35</v>
      </c>
      <c r="F26" s="5">
        <f ca="1">'EPV of Benefits'!E26/'Annuity factors'!F24</f>
        <v>1277.3111989919898</v>
      </c>
      <c r="G26" s="5">
        <f ca="1">'EPV of Benefits'!F26/'Annuity factors'!G24</f>
        <v>1208.3737524853736</v>
      </c>
      <c r="H26" s="5">
        <f ca="1">'EPV of Benefits'!G26/'Annuity factors'!H24</f>
        <v>1253.6374867353957</v>
      </c>
    </row>
    <row r="27" spans="5:8" x14ac:dyDescent="0.3">
      <c r="E27">
        <v>36</v>
      </c>
      <c r="F27" s="5">
        <f ca="1">'EPV of Benefits'!E27/'Annuity factors'!F25</f>
        <v>1407.1870084783989</v>
      </c>
      <c r="G27" s="5">
        <f ca="1">'EPV of Benefits'!F27/'Annuity factors'!G25</f>
        <v>1272.2505205697883</v>
      </c>
      <c r="H27" s="5">
        <f ca="1">'EPV of Benefits'!G27/'Annuity factors'!H25</f>
        <v>1330.2119487698376</v>
      </c>
    </row>
    <row r="28" spans="5:8" x14ac:dyDescent="0.3">
      <c r="E28">
        <v>37</v>
      </c>
      <c r="F28" s="5">
        <f ca="1">'EPV of Benefits'!E28/'Annuity factors'!F26</f>
        <v>1454.6991826532558</v>
      </c>
      <c r="G28" s="5">
        <f ca="1">'EPV of Benefits'!F28/'Annuity factors'!G26</f>
        <v>1341.8760286002189</v>
      </c>
      <c r="H28" s="5">
        <f ca="1">'EPV of Benefits'!G28/'Annuity factors'!H26</f>
        <v>1412.4536840967603</v>
      </c>
    </row>
    <row r="29" spans="5:8" x14ac:dyDescent="0.3">
      <c r="E29">
        <v>38</v>
      </c>
      <c r="F29" s="5">
        <f ca="1">'EPV of Benefits'!E29/'Annuity factors'!F27</f>
        <v>1493.9990334017812</v>
      </c>
      <c r="G29" s="5">
        <f ca="1">'EPV of Benefits'!F29/'Annuity factors'!G27</f>
        <v>1417.7422434406085</v>
      </c>
      <c r="H29" s="5">
        <f ca="1">'EPV of Benefits'!G29/'Annuity factors'!H27</f>
        <v>1500.4587323943942</v>
      </c>
    </row>
    <row r="30" spans="5:8" x14ac:dyDescent="0.3">
      <c r="E30">
        <v>39</v>
      </c>
      <c r="F30" s="5">
        <f ca="1">'EPV of Benefits'!E30/'Annuity factors'!F28</f>
        <v>1644.7675996883675</v>
      </c>
      <c r="G30" s="5">
        <f ca="1">'EPV of Benefits'!F30/'Annuity factors'!G28</f>
        <v>1500.378399251686</v>
      </c>
      <c r="H30" s="5">
        <f ca="1">'EPV of Benefits'!G30/'Annuity factors'!H28</f>
        <v>1594.3799129801844</v>
      </c>
    </row>
    <row r="31" spans="5:8" x14ac:dyDescent="0.3">
      <c r="E31">
        <v>40</v>
      </c>
      <c r="F31" s="5">
        <f ca="1">'EPV of Benefits'!E31/'Annuity factors'!F29</f>
        <v>1706.4900318839989</v>
      </c>
      <c r="G31" s="5">
        <f ca="1">'EPV of Benefits'!F31/'Annuity factors'!G29</f>
        <v>1590.3528985804896</v>
      </c>
      <c r="H31" s="5">
        <f ca="1">'EPV of Benefits'!G31/'Annuity factors'!H29</f>
        <v>1694.3832960191962</v>
      </c>
    </row>
    <row r="32" spans="5:8" x14ac:dyDescent="0.3">
      <c r="E32">
        <v>41</v>
      </c>
      <c r="F32" s="5">
        <f ca="1">'EPV of Benefits'!E32/'Annuity factors'!F30</f>
        <v>1662.7657572908399</v>
      </c>
      <c r="G32" s="5">
        <f ca="1">'EPV of Benefits'!F32/'Annuity factors'!G30</f>
        <v>1688.2751263930049</v>
      </c>
      <c r="H32" s="5">
        <f ca="1">'EPV of Benefits'!G32/'Annuity factors'!H30</f>
        <v>1800.6792552882287</v>
      </c>
    </row>
    <row r="33" spans="5:8" x14ac:dyDescent="0.3">
      <c r="E33">
        <v>42</v>
      </c>
      <c r="F33" s="5">
        <f ca="1">'EPV of Benefits'!E33/'Annuity factors'!F31</f>
        <v>1798.1691767188349</v>
      </c>
      <c r="G33" s="5">
        <f ca="1">'EPV of Benefits'!F33/'Annuity factors'!G31</f>
        <v>1794.7971312974751</v>
      </c>
      <c r="H33" s="5">
        <f ca="1">'EPV of Benefits'!G33/'Annuity factors'!H31</f>
        <v>1913.4878549530947</v>
      </c>
    </row>
    <row r="34" spans="5:8" x14ac:dyDescent="0.3">
      <c r="E34">
        <v>43</v>
      </c>
      <c r="F34" s="5">
        <f ca="1">'EPV of Benefits'!E34/'Annuity factors'!F32</f>
        <v>1859.2868756638848</v>
      </c>
      <c r="G34" s="5">
        <f ca="1">'EPV of Benefits'!F34/'Annuity factors'!G32</f>
        <v>1910.6151207908913</v>
      </c>
      <c r="H34" s="5">
        <f ca="1">'EPV of Benefits'!G34/'Annuity factors'!H32</f>
        <v>2032.9279610840774</v>
      </c>
    </row>
    <row r="35" spans="5:8" x14ac:dyDescent="0.3">
      <c r="E35">
        <v>44</v>
      </c>
      <c r="F35" s="5">
        <f ca="1">'EPV of Benefits'!E35/'Annuity factors'!F33</f>
        <v>2070.6890634386286</v>
      </c>
      <c r="G35" s="5">
        <f ca="1">'EPV of Benefits'!F35/'Annuity factors'!G33</f>
        <v>2036.4707098230231</v>
      </c>
      <c r="H35" s="5">
        <f ca="1">'EPV of Benefits'!G35/'Annuity factors'!H33</f>
        <v>2158.9943754208266</v>
      </c>
    </row>
    <row r="36" spans="5:8" x14ac:dyDescent="0.3">
      <c r="E36">
        <v>45</v>
      </c>
      <c r="F36" s="5">
        <f ca="1">'EPV of Benefits'!E36/'Annuity factors'!F34</f>
        <v>2289.3258793085606</v>
      </c>
      <c r="G36" s="5">
        <f ca="1">'EPV of Benefits'!F36/'Annuity factors'!G34</f>
        <v>2173.1518547117239</v>
      </c>
      <c r="H36" s="5">
        <f ca="1">'EPV of Benefits'!G36/'Annuity factors'!H34</f>
        <v>2291.5638164526558</v>
      </c>
    </row>
    <row r="37" spans="5:8" x14ac:dyDescent="0.3">
      <c r="E37">
        <v>46</v>
      </c>
      <c r="F37" s="5">
        <f ca="1">'EPV of Benefits'!E37/'Annuity factors'!F35</f>
        <v>2230.718156958596</v>
      </c>
      <c r="G37" s="5">
        <f ca="1">'EPV of Benefits'!F37/'Annuity factors'!G35</f>
        <v>2321.4933980387118</v>
      </c>
      <c r="H37" s="5">
        <f ca="1">'EPV of Benefits'!G37/'Annuity factors'!H35</f>
        <v>2430.4597530462343</v>
      </c>
    </row>
    <row r="38" spans="5:8" x14ac:dyDescent="0.3">
      <c r="E38">
        <v>47</v>
      </c>
      <c r="F38" s="5">
        <f ca="1">'EPV of Benefits'!E38/'Annuity factors'!F36</f>
        <v>2467.6023203023028</v>
      </c>
      <c r="G38" s="5">
        <f ca="1">'EPV of Benefits'!F38/'Annuity factors'!G36</f>
        <v>2482.3771454100624</v>
      </c>
      <c r="H38" s="5">
        <f ca="1">'EPV of Benefits'!G38/'Annuity factors'!H36</f>
        <v>2575.4783601956369</v>
      </c>
    </row>
    <row r="39" spans="5:8" x14ac:dyDescent="0.3">
      <c r="E39">
        <v>48</v>
      </c>
      <c r="F39" s="5">
        <f ca="1">'EPV of Benefits'!E39/'Annuity factors'!F37</f>
        <v>2554.8036019950819</v>
      </c>
      <c r="G39" s="5">
        <f ca="1">'EPV of Benefits'!F39/'Annuity factors'!G37</f>
        <v>2656.7313929586367</v>
      </c>
      <c r="H39" s="5">
        <f ca="1">'EPV of Benefits'!G39/'Annuity factors'!H37</f>
        <v>2726.2813229975409</v>
      </c>
    </row>
    <row r="40" spans="5:8" x14ac:dyDescent="0.3">
      <c r="E40">
        <v>49</v>
      </c>
      <c r="F40" s="5">
        <f ca="1">'EPV of Benefits'!E40/'Annuity factors'!F38</f>
        <v>2667.8553083881156</v>
      </c>
      <c r="G40" s="5">
        <f ca="1">'EPV of Benefits'!F40/'Annuity factors'!G38</f>
        <v>2845.5298266002492</v>
      </c>
      <c r="H40" s="5">
        <f ca="1">'EPV of Benefits'!G40/'Annuity factors'!H38</f>
        <v>2882.4325038501015</v>
      </c>
    </row>
    <row r="41" spans="5:8" x14ac:dyDescent="0.3">
      <c r="E41">
        <v>50</v>
      </c>
      <c r="F41" s="5">
        <f ca="1">'EPV of Benefits'!E41/'Annuity factors'!F39</f>
        <v>2930.7690489158326</v>
      </c>
      <c r="G41" s="5">
        <f ca="1">'EPV of Benefits'!F41/'Annuity factors'!G39</f>
        <v>3049.7897220995123</v>
      </c>
      <c r="H41" s="5">
        <f ca="1">'EPV of Benefits'!G41/'Annuity factors'!H39</f>
        <v>3043.3829462425338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AAA8-15C9-4DEA-BD2B-705F636BA79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graduation_data</vt:lpstr>
      <vt:lpstr>Mortality</vt:lpstr>
      <vt:lpstr>Assurance FActors</vt:lpstr>
      <vt:lpstr>Annuity factors</vt:lpstr>
      <vt:lpstr>EPV of Benefits</vt:lpstr>
      <vt:lpstr>Premium</vt:lpstr>
      <vt:lpstr>Comparision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cheshta arora</dc:creator>
  <cp:lastModifiedBy>cheshta arora</cp:lastModifiedBy>
  <dcterms:created xsi:type="dcterms:W3CDTF">2026-10-02T07:32:09Z</dcterms:created>
  <dcterms:modified xsi:type="dcterms:W3CDTF">2026-10-02T08:57:08Z</dcterms:modified>
</cp:coreProperties>
</file>